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pping list" sheetId="1" state="visible" r:id="rId3"/>
  </sheets>
  <definedNames>
    <definedName function="false" hidden="false" localSheetId="0" name="_xlnm.Print_Titles" vbProcedure="false">'Shopping list'!$4:$4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<sst xmlns="http://schemas.openxmlformats.org/spreadsheetml/2006/main" count="110" uniqueCount="72">
  <si>
    <t xml:space="preserve">MineSafe — components for 2 repeaters (PCB v4.0 + case)</t>
  </si>
  <si>
    <t xml:space="preserve">Edit the blue cells (Qty, Unit ₹). Set 'Have it?' to Y for parts you already own — they drop out of 'To buy'. Prices are approximate Indian online prices, Oct 2026.</t>
  </si>
  <si>
    <t xml:space="preserve">Part</t>
  </si>
  <si>
    <t xml:space="preserve">Qty (for 2)</t>
  </si>
  <si>
    <t xml:space="preserve">Unit ₹</t>
  </si>
  <si>
    <t xml:space="preserve">Total ₹</t>
  </si>
  <si>
    <t xml:space="preserve">Have it? (Y/N)</t>
  </si>
  <si>
    <t xml:space="preserve">To buy ₹</t>
  </si>
  <si>
    <t xml:space="preserve">Bought ✓</t>
  </si>
  <si>
    <t xml:space="preserve">Supplier / link</t>
  </si>
  <si>
    <t xml:space="preserve">Notes</t>
  </si>
  <si>
    <t xml:space="preserve">1. Modules</t>
  </si>
  <si>
    <t xml:space="preserve">Seeed XIAO ESP32-C6</t>
  </si>
  <si>
    <t xml:space="preserve">N</t>
  </si>
  <si>
    <t xml:space="preserve">MAX7219 8×32 LED matrix (FC-16, 4-in-1)</t>
  </si>
  <si>
    <t xml:space="preserve">MQ-4 gas sensor (methane)</t>
  </si>
  <si>
    <t xml:space="preserve">MQ-7 gas sensor (CO)</t>
  </si>
  <si>
    <t xml:space="preserve">MQ-136 gas sensor (H₂S)</t>
  </si>
  <si>
    <t xml:space="preserve">AHT20 temperature + humidity</t>
  </si>
  <si>
    <t xml:space="preserve">5 V active buzzer, loud (≥ 85 dB)</t>
  </si>
  <si>
    <t xml:space="preserve">Subtotal — Modules</t>
  </si>
  <si>
    <t xml:space="preserve">2. PCB + soldered parts</t>
  </si>
  <si>
    <t xml:space="preserve">PCB from JLCPCB (min. order 5 boards)</t>
  </si>
  <si>
    <t xml:space="preserve">Lot of 5 incl. shipping; upload repeater_gerbers_jlcpcb.zip</t>
  </si>
  <si>
    <t xml:space="preserve">K7805-2000R3 regulator (5 V / 2 A switching)</t>
  </si>
  <si>
    <t xml:space="preserve">1N5822 Schottky diode</t>
  </si>
  <si>
    <t xml:space="preserve">P6KE36A TVS diode</t>
  </si>
  <si>
    <t xml:space="preserve">1N4148 diode</t>
  </si>
  <si>
    <t xml:space="preserve">T1.6 A fuse, TR5</t>
  </si>
  <si>
    <t xml:space="preserve">Includes 2 spares</t>
  </si>
  <si>
    <t xml:space="preserve">470 µF 50 V capacitor</t>
  </si>
  <si>
    <t xml:space="preserve">220 µF 16 V capacitor</t>
  </si>
  <si>
    <t xml:space="preserve">100 nF ceramic capacitor</t>
  </si>
  <si>
    <t xml:space="preserve">S8050 transistor</t>
  </si>
  <si>
    <t xml:space="preserve">74HCT125 + DIP-14 socket</t>
  </si>
  <si>
    <t xml:space="preserve">Must be HCT, not HC</t>
  </si>
  <si>
    <t xml:space="preserve">Resistors ¼ W: 1k×4, 10k×10, 22k×2, 20k×6, 4.7k×4</t>
  </si>
  <si>
    <t xml:space="preserve">Lot of 26 resistors</t>
  </si>
  <si>
    <t xml:space="preserve">3 mm green LED</t>
  </si>
  <si>
    <t xml:space="preserve">1×7 female header 2.54 mm (XIAO sockets)</t>
  </si>
  <si>
    <t xml:space="preserve">2-pin screw terminal 5.08 mm</t>
  </si>
  <si>
    <t xml:space="preserve">JST-XH kit: 4-pin×8, 5-pin×2, 2-pin×4 + housings, crimps</t>
  </si>
  <si>
    <t xml:space="preserve">Cheaper as one kit</t>
  </si>
  <si>
    <t xml:space="preserve">M3 standoffs + screws</t>
  </si>
  <si>
    <t xml:space="preserve">Subtotal — PCB + soldered parts</t>
  </si>
  <si>
    <t xml:space="preserve">3. Case, power + fittings</t>
  </si>
  <si>
    <t xml:space="preserve">PETG print, base + lid (≈ 1.1 kg each)</t>
  </si>
  <si>
    <t xml:space="preserve">Per set</t>
  </si>
  <si>
    <t xml:space="preserve">3S 18650 pack with BMS + 12.6 V charge module</t>
  </si>
  <si>
    <t xml:space="preserve">Optional for demo</t>
  </si>
  <si>
    <t xml:space="preserve">12 V 2 A adapter (mine-supply stand-in)</t>
  </si>
  <si>
    <t xml:space="preserve">22 mm IP67 red mushroom button (SOS)</t>
  </si>
  <si>
    <t xml:space="preserve">u.FL → SMA bulkhead pigtail + 2.4 GHz antenna</t>
  </si>
  <si>
    <t xml:space="preserve">M12 ePTFE pressure vent</t>
  </si>
  <si>
    <t xml:space="preserve">2 per box</t>
  </si>
  <si>
    <t xml:space="preserve">Sintered bronze disc 25 mm (gas-port filter)</t>
  </si>
  <si>
    <t xml:space="preserve">ePTFE membrane patches</t>
  </si>
  <si>
    <t xml:space="preserve">M16 cable gland IP68</t>
  </si>
  <si>
    <t xml:space="preserve">M4 × 25 stainless screws</t>
  </si>
  <si>
    <t xml:space="preserve">M4 heat-set inserts</t>
  </si>
  <si>
    <t xml:space="preserve">3 mm silicone cord, per metre (lid seal)</t>
  </si>
  <si>
    <t xml:space="preserve">≈ 0.8 m per box</t>
  </si>
  <si>
    <t xml:space="preserve">3 mm polycarbonate, 150 × 50 (window)</t>
  </si>
  <si>
    <t xml:space="preserve">Reflective tape + 16 mm rubber grommets</t>
  </si>
  <si>
    <t xml:space="preserve">Lot</t>
  </si>
  <si>
    <t xml:space="preserve">Subtotal — Case, power + fittings</t>
  </si>
  <si>
    <t xml:space="preserve">TOTAL for 2 repeaters</t>
  </si>
  <si>
    <t xml:space="preserve">Per repeater</t>
  </si>
  <si>
    <t xml:space="preserve">• Hardware is identical for both; one runs as main repeater (IS_GATEWAY 1), the other as tunnel repeater (IS_GATEWAY 0).</t>
  </si>
  <si>
    <t xml:space="preserve">• If the V3 repeaters already have the XIAOs, matrices, MQ sensors, AHT20s and buzzers, mark section 1 as Y.</t>
  </si>
  <si>
    <t xml:space="preserve">• For the demo you can skip the battery packs and run off the 12 V adapters.</t>
  </si>
  <si>
    <t xml:space="preserve">• Full details: hardware/README.md and hardware/repeater_pcb/bom_pcb.csv in the MINESAFE repo.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</si>
</sst>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;&quot;-₹&quot;#,##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2171A"/>
        <bgColor rgb="FF000000"/>
      </patternFill>
    </fill>
    <fill>
      <patternFill patternType="solid">
        <fgColor rgb="FFF2A900"/>
        <bgColor rgb="FFFFCC00"/>
      </patternFill>
    </fill>
    <fill>
      <patternFill patternType="solid">
        <fgColor rgb="FFF3F0E8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3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A900"/>
      <rgbColor rgb="FFFF6600"/>
      <rgbColor rgb="FF595959"/>
      <rgbColor rgb="FF969696"/>
      <rgbColor rgb="FF003366"/>
      <rgbColor rgb="FF339966"/>
      <rgbColor rgb="FF1217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11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/>
      <c r="C5" s="6"/>
      <c r="D5" s="6"/>
      <c r="E5" s="5"/>
      <c r="F5" s="6"/>
      <c r="G5" s="5"/>
      <c r="H5" s="7"/>
      <c r="I5" s="7"/>
    </row>
    <row r="6" customFormat="false" ht="15" hidden="false" customHeight="false" outlineLevel="0" collapsed="false">
      <c r="A6" s="8" t="s">
        <v>12</v>
      </c>
      <c r="B6" s="9" t="n">
        <v>2</v>
      </c>
      <c r="C6" s="10" t="n">
        <v>600</v>
      </c>
      <c r="D6" s="11" t="n">
        <f aca="false">B6*C6</f>
        <v>1200</v>
      </c>
      <c r="E6" s="12" t="s">
        <v>13</v>
      </c>
      <c r="F6" s="11" t="n">
        <f aca="false">IF(UPPER(E6)="Y",0,D6)</f>
        <v>1200</v>
      </c>
      <c r="G6" s="12"/>
      <c r="H6" s="8"/>
      <c r="I6" s="8"/>
    </row>
    <row r="7" customFormat="false" ht="15" hidden="false" customHeight="false" outlineLevel="0" collapsed="false">
      <c r="A7" s="8" t="s">
        <v>14</v>
      </c>
      <c r="B7" s="9" t="n">
        <v>2</v>
      </c>
      <c r="C7" s="10" t="n">
        <v>300</v>
      </c>
      <c r="D7" s="11" t="n">
        <f aca="false">B7*C7</f>
        <v>600</v>
      </c>
      <c r="E7" s="12" t="s">
        <v>13</v>
      </c>
      <c r="F7" s="11" t="n">
        <f aca="false">IF(UPPER(E7)="Y",0,D7)</f>
        <v>600</v>
      </c>
      <c r="G7" s="12"/>
      <c r="H7" s="8"/>
      <c r="I7" s="8"/>
    </row>
    <row r="8" customFormat="false" ht="15" hidden="false" customHeight="false" outlineLevel="0" collapsed="false">
      <c r="A8" s="8" t="s">
        <v>15</v>
      </c>
      <c r="B8" s="9" t="n">
        <v>2</v>
      </c>
      <c r="C8" s="10" t="n">
        <v>150</v>
      </c>
      <c r="D8" s="11" t="n">
        <f aca="false">B8*C8</f>
        <v>300</v>
      </c>
      <c r="E8" s="12" t="s">
        <v>13</v>
      </c>
      <c r="F8" s="11" t="n">
        <f aca="false">IF(UPPER(E8)="Y",0,D8)</f>
        <v>300</v>
      </c>
      <c r="G8" s="12"/>
      <c r="H8" s="8"/>
      <c r="I8" s="8"/>
    </row>
    <row r="9" customFormat="false" ht="15" hidden="false" customHeight="false" outlineLevel="0" collapsed="false">
      <c r="A9" s="8" t="s">
        <v>16</v>
      </c>
      <c r="B9" s="9" t="n">
        <v>2</v>
      </c>
      <c r="C9" s="10" t="n">
        <v>150</v>
      </c>
      <c r="D9" s="11" t="n">
        <f aca="false">B9*C9</f>
        <v>300</v>
      </c>
      <c r="E9" s="12" t="s">
        <v>13</v>
      </c>
      <c r="F9" s="11" t="n">
        <f aca="false">IF(UPPER(E9)="Y",0,D9)</f>
        <v>300</v>
      </c>
      <c r="G9" s="12"/>
      <c r="H9" s="8"/>
      <c r="I9" s="8"/>
    </row>
    <row r="10" customFormat="false" ht="15" hidden="false" customHeight="false" outlineLevel="0" collapsed="false">
      <c r="A10" s="8" t="s">
        <v>17</v>
      </c>
      <c r="B10" s="9" t="n">
        <v>2</v>
      </c>
      <c r="C10" s="10" t="n">
        <v>400</v>
      </c>
      <c r="D10" s="11" t="n">
        <f aca="false">B10*C10</f>
        <v>800</v>
      </c>
      <c r="E10" s="12" t="s">
        <v>13</v>
      </c>
      <c r="F10" s="11" t="n">
        <f aca="false">IF(UPPER(E10)="Y",0,D10)</f>
        <v>800</v>
      </c>
      <c r="G10" s="12"/>
      <c r="H10" s="8"/>
      <c r="I10" s="8"/>
    </row>
    <row r="11" customFormat="false" ht="15" hidden="false" customHeight="false" outlineLevel="0" collapsed="false">
      <c r="A11" s="8" t="s">
        <v>18</v>
      </c>
      <c r="B11" s="9" t="n">
        <v>2</v>
      </c>
      <c r="C11" s="10" t="n">
        <v>245</v>
      </c>
      <c r="D11" s="11" t="n">
        <f aca="false">B11*C11</f>
        <v>490</v>
      </c>
      <c r="E11" s="12" t="s">
        <v>13</v>
      </c>
      <c r="F11" s="11" t="n">
        <f aca="false">IF(UPPER(E11)="Y",0,D11)</f>
        <v>490</v>
      </c>
      <c r="G11" s="12"/>
      <c r="H11" s="8"/>
      <c r="I11" s="8"/>
    </row>
    <row r="12" customFormat="false" ht="15" hidden="false" customHeight="false" outlineLevel="0" collapsed="false">
      <c r="A12" s="8" t="s">
        <v>19</v>
      </c>
      <c r="B12" s="9" t="n">
        <v>2</v>
      </c>
      <c r="C12" s="10" t="n">
        <v>60</v>
      </c>
      <c r="D12" s="11" t="n">
        <f aca="false">B12*C12</f>
        <v>120</v>
      </c>
      <c r="E12" s="12" t="s">
        <v>13</v>
      </c>
      <c r="F12" s="11" t="n">
        <f aca="false">IF(UPPER(E12)="Y",0,D12)</f>
        <v>120</v>
      </c>
      <c r="G12" s="12"/>
      <c r="H12" s="8"/>
      <c r="I12" s="8"/>
    </row>
    <row r="13" customFormat="false" ht="15" hidden="false" customHeight="false" outlineLevel="0" collapsed="false">
      <c r="A13" s="13" t="s">
        <v>20</v>
      </c>
      <c r="B13" s="14"/>
      <c r="C13" s="15"/>
      <c r="D13" s="15" t="n">
        <f aca="false">SUM(D6:D12)</f>
        <v>3810</v>
      </c>
      <c r="E13" s="14"/>
      <c r="F13" s="15" t="n">
        <f aca="false">SUM(F6:F12)</f>
        <v>3810</v>
      </c>
      <c r="G13" s="14"/>
      <c r="H13" s="13"/>
      <c r="I13" s="13"/>
    </row>
    <row r="14" customFormat="false" ht="15" hidden="false" customHeight="false" outlineLevel="0" collapsed="false">
      <c r="A14" s="16"/>
      <c r="B14" s="17"/>
      <c r="C14" s="18"/>
      <c r="D14" s="18"/>
      <c r="E14" s="17"/>
      <c r="F14" s="18"/>
      <c r="G14" s="17"/>
      <c r="H14" s="16"/>
      <c r="I14" s="16"/>
    </row>
    <row r="15" customFormat="false" ht="15" hidden="false" customHeight="false" outlineLevel="0" collapsed="false">
      <c r="A15" s="4" t="s">
        <v>21</v>
      </c>
      <c r="B15" s="5"/>
      <c r="C15" s="6"/>
      <c r="D15" s="6"/>
      <c r="E15" s="5"/>
      <c r="F15" s="6"/>
      <c r="G15" s="5"/>
      <c r="H15" s="7"/>
      <c r="I15" s="7"/>
    </row>
    <row r="16" customFormat="false" ht="15" hidden="false" customHeight="false" outlineLevel="0" collapsed="false">
      <c r="A16" s="8" t="s">
        <v>22</v>
      </c>
      <c r="B16" s="9" t="n">
        <v>1</v>
      </c>
      <c r="C16" s="10" t="n">
        <v>1000</v>
      </c>
      <c r="D16" s="11" t="n">
        <f aca="false">B16*C16</f>
        <v>1000</v>
      </c>
      <c r="E16" s="12" t="s">
        <v>13</v>
      </c>
      <c r="F16" s="11" t="n">
        <f aca="false">IF(UPPER(E16)="Y",0,D16)</f>
        <v>1000</v>
      </c>
      <c r="G16" s="12"/>
      <c r="H16" s="8"/>
      <c r="I16" s="8" t="s">
        <v>23</v>
      </c>
    </row>
    <row r="17" customFormat="false" ht="15" hidden="false" customHeight="false" outlineLevel="0" collapsed="false">
      <c r="A17" s="8" t="s">
        <v>24</v>
      </c>
      <c r="B17" s="9" t="n">
        <v>2</v>
      </c>
      <c r="C17" s="10" t="n">
        <v>450</v>
      </c>
      <c r="D17" s="11" t="n">
        <f aca="false">B17*C17</f>
        <v>900</v>
      </c>
      <c r="E17" s="12" t="s">
        <v>13</v>
      </c>
      <c r="F17" s="11" t="n">
        <f aca="false">IF(UPPER(E17)="Y",0,D17)</f>
        <v>900</v>
      </c>
      <c r="G17" s="12"/>
      <c r="H17" s="8"/>
      <c r="I17" s="8"/>
    </row>
    <row r="18" customFormat="false" ht="15" hidden="false" customHeight="false" outlineLevel="0" collapsed="false">
      <c r="A18" s="8" t="s">
        <v>25</v>
      </c>
      <c r="B18" s="9" t="n">
        <v>4</v>
      </c>
      <c r="C18" s="10" t="n">
        <v>8</v>
      </c>
      <c r="D18" s="11" t="n">
        <f aca="false">B18*C18</f>
        <v>32</v>
      </c>
      <c r="E18" s="12" t="s">
        <v>13</v>
      </c>
      <c r="F18" s="11" t="n">
        <f aca="false">IF(UPPER(E18)="Y",0,D18)</f>
        <v>32</v>
      </c>
      <c r="G18" s="12"/>
      <c r="H18" s="8"/>
      <c r="I18" s="8"/>
    </row>
    <row r="19" customFormat="false" ht="15" hidden="false" customHeight="false" outlineLevel="0" collapsed="false">
      <c r="A19" s="8" t="s">
        <v>26</v>
      </c>
      <c r="B19" s="9" t="n">
        <v>2</v>
      </c>
      <c r="C19" s="10" t="n">
        <v>10</v>
      </c>
      <c r="D19" s="11" t="n">
        <f aca="false">B19*C19</f>
        <v>20</v>
      </c>
      <c r="E19" s="12" t="s">
        <v>13</v>
      </c>
      <c r="F19" s="11" t="n">
        <f aca="false">IF(UPPER(E19)="Y",0,D19)</f>
        <v>20</v>
      </c>
      <c r="G19" s="12"/>
      <c r="H19" s="8"/>
      <c r="I19" s="8"/>
    </row>
    <row r="20" customFormat="false" ht="15" hidden="false" customHeight="false" outlineLevel="0" collapsed="false">
      <c r="A20" s="8" t="s">
        <v>27</v>
      </c>
      <c r="B20" s="9" t="n">
        <v>2</v>
      </c>
      <c r="C20" s="10" t="n">
        <v>1</v>
      </c>
      <c r="D20" s="11" t="n">
        <f aca="false">B20*C20</f>
        <v>2</v>
      </c>
      <c r="E20" s="12" t="s">
        <v>13</v>
      </c>
      <c r="F20" s="11" t="n">
        <f aca="false">IF(UPPER(E20)="Y",0,D20)</f>
        <v>2</v>
      </c>
      <c r="G20" s="12"/>
      <c r="H20" s="8"/>
      <c r="I20" s="8"/>
    </row>
    <row r="21" customFormat="false" ht="15" hidden="false" customHeight="false" outlineLevel="0" collapsed="false">
      <c r="A21" s="8" t="s">
        <v>28</v>
      </c>
      <c r="B21" s="9" t="n">
        <v>4</v>
      </c>
      <c r="C21" s="10" t="n">
        <v>25</v>
      </c>
      <c r="D21" s="11" t="n">
        <f aca="false">B21*C21</f>
        <v>100</v>
      </c>
      <c r="E21" s="12" t="s">
        <v>13</v>
      </c>
      <c r="F21" s="11" t="n">
        <f aca="false">IF(UPPER(E21)="Y",0,D21)</f>
        <v>100</v>
      </c>
      <c r="G21" s="12"/>
      <c r="H21" s="8"/>
      <c r="I21" s="8" t="s">
        <v>29</v>
      </c>
    </row>
    <row r="22" customFormat="false" ht="15" hidden="false" customHeight="false" outlineLevel="0" collapsed="false">
      <c r="A22" s="8" t="s">
        <v>30</v>
      </c>
      <c r="B22" s="9" t="n">
        <v>2</v>
      </c>
      <c r="C22" s="10" t="n">
        <v>15</v>
      </c>
      <c r="D22" s="11" t="n">
        <f aca="false">B22*C22</f>
        <v>30</v>
      </c>
      <c r="E22" s="12" t="s">
        <v>13</v>
      </c>
      <c r="F22" s="11" t="n">
        <f aca="false">IF(UPPER(E22)="Y",0,D22)</f>
        <v>30</v>
      </c>
      <c r="G22" s="12"/>
      <c r="H22" s="8"/>
      <c r="I22" s="8"/>
    </row>
    <row r="23" customFormat="false" ht="15" hidden="false" customHeight="false" outlineLevel="0" collapsed="false">
      <c r="A23" s="8" t="s">
        <v>31</v>
      </c>
      <c r="B23" s="9" t="n">
        <v>2</v>
      </c>
      <c r="C23" s="10" t="n">
        <v>5</v>
      </c>
      <c r="D23" s="11" t="n">
        <f aca="false">B23*C23</f>
        <v>10</v>
      </c>
      <c r="E23" s="12" t="s">
        <v>13</v>
      </c>
      <c r="F23" s="11" t="n">
        <f aca="false">IF(UPPER(E23)="Y",0,D23)</f>
        <v>10</v>
      </c>
      <c r="G23" s="12"/>
      <c r="H23" s="8"/>
      <c r="I23" s="8"/>
    </row>
    <row r="24" customFormat="false" ht="15" hidden="false" customHeight="false" outlineLevel="0" collapsed="false">
      <c r="A24" s="8" t="s">
        <v>32</v>
      </c>
      <c r="B24" s="9" t="n">
        <v>12</v>
      </c>
      <c r="C24" s="10" t="n">
        <v>1</v>
      </c>
      <c r="D24" s="11" t="n">
        <f aca="false">B24*C24</f>
        <v>12</v>
      </c>
      <c r="E24" s="12" t="s">
        <v>13</v>
      </c>
      <c r="F24" s="11" t="n">
        <f aca="false">IF(UPPER(E24)="Y",0,D24)</f>
        <v>12</v>
      </c>
      <c r="G24" s="12"/>
      <c r="H24" s="8"/>
      <c r="I24" s="8"/>
    </row>
    <row r="25" customFormat="false" ht="15" hidden="false" customHeight="false" outlineLevel="0" collapsed="false">
      <c r="A25" s="8" t="s">
        <v>33</v>
      </c>
      <c r="B25" s="9" t="n">
        <v>4</v>
      </c>
      <c r="C25" s="10" t="n">
        <v>2</v>
      </c>
      <c r="D25" s="11" t="n">
        <f aca="false">B25*C25</f>
        <v>8</v>
      </c>
      <c r="E25" s="12" t="s">
        <v>13</v>
      </c>
      <c r="F25" s="11" t="n">
        <f aca="false">IF(UPPER(E25)="Y",0,D25)</f>
        <v>8</v>
      </c>
      <c r="G25" s="12"/>
      <c r="H25" s="8"/>
      <c r="I25" s="8"/>
    </row>
    <row r="26" customFormat="false" ht="15" hidden="false" customHeight="false" outlineLevel="0" collapsed="false">
      <c r="A26" s="8" t="s">
        <v>34</v>
      </c>
      <c r="B26" s="9" t="n">
        <v>2</v>
      </c>
      <c r="C26" s="10" t="n">
        <v>30</v>
      </c>
      <c r="D26" s="11" t="n">
        <f aca="false">B26*C26</f>
        <v>60</v>
      </c>
      <c r="E26" s="12" t="s">
        <v>13</v>
      </c>
      <c r="F26" s="11" t="n">
        <f aca="false">IF(UPPER(E26)="Y",0,D26)</f>
        <v>60</v>
      </c>
      <c r="G26" s="12"/>
      <c r="H26" s="8"/>
      <c r="I26" s="8" t="s">
        <v>35</v>
      </c>
    </row>
    <row r="27" customFormat="false" ht="15" hidden="false" customHeight="false" outlineLevel="0" collapsed="false">
      <c r="A27" s="8" t="s">
        <v>36</v>
      </c>
      <c r="B27" s="9" t="n">
        <v>1</v>
      </c>
      <c r="C27" s="10" t="n">
        <v>20</v>
      </c>
      <c r="D27" s="11" t="n">
        <f aca="false">B27*C27</f>
        <v>20</v>
      </c>
      <c r="E27" s="12" t="s">
        <v>13</v>
      </c>
      <c r="F27" s="11" t="n">
        <f aca="false">IF(UPPER(E27)="Y",0,D27)</f>
        <v>20</v>
      </c>
      <c r="G27" s="12"/>
      <c r="H27" s="8"/>
      <c r="I27" s="8" t="s">
        <v>37</v>
      </c>
    </row>
    <row r="28" customFormat="false" ht="15" hidden="false" customHeight="false" outlineLevel="0" collapsed="false">
      <c r="A28" s="8" t="s">
        <v>38</v>
      </c>
      <c r="B28" s="9" t="n">
        <v>2</v>
      </c>
      <c r="C28" s="10" t="n">
        <v>1</v>
      </c>
      <c r="D28" s="11" t="n">
        <f aca="false">B28*C28</f>
        <v>2</v>
      </c>
      <c r="E28" s="12" t="s">
        <v>13</v>
      </c>
      <c r="F28" s="11" t="n">
        <f aca="false">IF(UPPER(E28)="Y",0,D28)</f>
        <v>2</v>
      </c>
      <c r="G28" s="12"/>
      <c r="H28" s="8"/>
      <c r="I28" s="8"/>
    </row>
    <row r="29" customFormat="false" ht="15" hidden="false" customHeight="false" outlineLevel="0" collapsed="false">
      <c r="A29" s="8" t="s">
        <v>39</v>
      </c>
      <c r="B29" s="9" t="n">
        <v>4</v>
      </c>
      <c r="C29" s="10" t="n">
        <v>10</v>
      </c>
      <c r="D29" s="11" t="n">
        <f aca="false">B29*C29</f>
        <v>40</v>
      </c>
      <c r="E29" s="12" t="s">
        <v>13</v>
      </c>
      <c r="F29" s="11" t="n">
        <f aca="false">IF(UPPER(E29)="Y",0,D29)</f>
        <v>40</v>
      </c>
      <c r="G29" s="12"/>
      <c r="H29" s="8"/>
      <c r="I29" s="8"/>
    </row>
    <row r="30" customFormat="false" ht="15" hidden="false" customHeight="false" outlineLevel="0" collapsed="false">
      <c r="A30" s="8" t="s">
        <v>40</v>
      </c>
      <c r="B30" s="9" t="n">
        <v>4</v>
      </c>
      <c r="C30" s="10" t="n">
        <v>12</v>
      </c>
      <c r="D30" s="11" t="n">
        <f aca="false">B30*C30</f>
        <v>48</v>
      </c>
      <c r="E30" s="12" t="s">
        <v>13</v>
      </c>
      <c r="F30" s="11" t="n">
        <f aca="false">IF(UPPER(E30)="Y",0,D30)</f>
        <v>48</v>
      </c>
      <c r="G30" s="12"/>
      <c r="H30" s="8"/>
      <c r="I30" s="8"/>
    </row>
    <row r="31" customFormat="false" ht="15" hidden="false" customHeight="false" outlineLevel="0" collapsed="false">
      <c r="A31" s="8" t="s">
        <v>41</v>
      </c>
      <c r="B31" s="9" t="n">
        <v>1</v>
      </c>
      <c r="C31" s="10" t="n">
        <v>150</v>
      </c>
      <c r="D31" s="11" t="n">
        <f aca="false">B31*C31</f>
        <v>150</v>
      </c>
      <c r="E31" s="12" t="s">
        <v>13</v>
      </c>
      <c r="F31" s="11" t="n">
        <f aca="false">IF(UPPER(E31)="Y",0,D31)</f>
        <v>150</v>
      </c>
      <c r="G31" s="12"/>
      <c r="H31" s="8"/>
      <c r="I31" s="8" t="s">
        <v>42</v>
      </c>
    </row>
    <row r="32" customFormat="false" ht="15" hidden="false" customHeight="false" outlineLevel="0" collapsed="false">
      <c r="A32" s="8" t="s">
        <v>43</v>
      </c>
      <c r="B32" s="9" t="n">
        <v>8</v>
      </c>
      <c r="C32" s="10" t="n">
        <v>5</v>
      </c>
      <c r="D32" s="11" t="n">
        <f aca="false">B32*C32</f>
        <v>40</v>
      </c>
      <c r="E32" s="12" t="s">
        <v>13</v>
      </c>
      <c r="F32" s="11" t="n">
        <f aca="false">IF(UPPER(E32)="Y",0,D32)</f>
        <v>40</v>
      </c>
      <c r="G32" s="12"/>
      <c r="H32" s="8"/>
      <c r="I32" s="8"/>
    </row>
    <row r="33" customFormat="false" ht="15" hidden="false" customHeight="false" outlineLevel="0" collapsed="false">
      <c r="A33" s="13" t="s">
        <v>44</v>
      </c>
      <c r="B33" s="14"/>
      <c r="C33" s="15"/>
      <c r="D33" s="15" t="n">
        <f aca="false">SUM(D16:D32)</f>
        <v>2474</v>
      </c>
      <c r="E33" s="14"/>
      <c r="F33" s="15" t="n">
        <f aca="false">SUM(F16:F32)</f>
        <v>2474</v>
      </c>
      <c r="G33" s="14"/>
      <c r="H33" s="13"/>
      <c r="I33" s="13"/>
    </row>
    <row r="34" customFormat="false" ht="15" hidden="false" customHeight="false" outlineLevel="0" collapsed="false">
      <c r="A34" s="16"/>
      <c r="B34" s="17"/>
      <c r="C34" s="18"/>
      <c r="D34" s="18"/>
      <c r="E34" s="17"/>
      <c r="F34" s="18"/>
      <c r="G34" s="17"/>
      <c r="H34" s="16"/>
      <c r="I34" s="16"/>
    </row>
    <row r="35" customFormat="false" ht="15" hidden="false" customHeight="false" outlineLevel="0" collapsed="false">
      <c r="A35" s="4" t="s">
        <v>45</v>
      </c>
      <c r="B35" s="5"/>
      <c r="C35" s="6"/>
      <c r="D35" s="6"/>
      <c r="E35" s="5"/>
      <c r="F35" s="6"/>
      <c r="G35" s="5"/>
      <c r="H35" s="7"/>
      <c r="I35" s="7"/>
    </row>
    <row r="36" customFormat="false" ht="15" hidden="false" customHeight="false" outlineLevel="0" collapsed="false">
      <c r="A36" s="8" t="s">
        <v>46</v>
      </c>
      <c r="B36" s="9" t="n">
        <v>2</v>
      </c>
      <c r="C36" s="10" t="n">
        <v>1000</v>
      </c>
      <c r="D36" s="11" t="n">
        <f aca="false">B36*C36</f>
        <v>2000</v>
      </c>
      <c r="E36" s="12" t="s">
        <v>13</v>
      </c>
      <c r="F36" s="11" t="n">
        <f aca="false">IF(UPPER(E36)="Y",0,D36)</f>
        <v>2000</v>
      </c>
      <c r="G36" s="12"/>
      <c r="H36" s="8"/>
      <c r="I36" s="8" t="s">
        <v>47</v>
      </c>
    </row>
    <row r="37" customFormat="false" ht="15" hidden="false" customHeight="false" outlineLevel="0" collapsed="false">
      <c r="A37" s="8" t="s">
        <v>48</v>
      </c>
      <c r="B37" s="9" t="n">
        <v>2</v>
      </c>
      <c r="C37" s="10" t="n">
        <v>900</v>
      </c>
      <c r="D37" s="11" t="n">
        <f aca="false">B37*C37</f>
        <v>1800</v>
      </c>
      <c r="E37" s="12" t="s">
        <v>13</v>
      </c>
      <c r="F37" s="11" t="n">
        <f aca="false">IF(UPPER(E37)="Y",0,D37)</f>
        <v>1800</v>
      </c>
      <c r="G37" s="12"/>
      <c r="H37" s="8"/>
      <c r="I37" s="8" t="s">
        <v>49</v>
      </c>
    </row>
    <row r="38" customFormat="false" ht="15" hidden="false" customHeight="false" outlineLevel="0" collapsed="false">
      <c r="A38" s="8" t="s">
        <v>50</v>
      </c>
      <c r="B38" s="9" t="n">
        <v>2</v>
      </c>
      <c r="C38" s="10" t="n">
        <v>250</v>
      </c>
      <c r="D38" s="11" t="n">
        <f aca="false">B38*C38</f>
        <v>500</v>
      </c>
      <c r="E38" s="12" t="s">
        <v>13</v>
      </c>
      <c r="F38" s="11" t="n">
        <f aca="false">IF(UPPER(E38)="Y",0,D38)</f>
        <v>500</v>
      </c>
      <c r="G38" s="12"/>
      <c r="H38" s="8"/>
      <c r="I38" s="8"/>
    </row>
    <row r="39" customFormat="false" ht="15" hidden="false" customHeight="false" outlineLevel="0" collapsed="false">
      <c r="A39" s="8" t="s">
        <v>51</v>
      </c>
      <c r="B39" s="9" t="n">
        <v>2</v>
      </c>
      <c r="C39" s="10" t="n">
        <v>150</v>
      </c>
      <c r="D39" s="11" t="n">
        <f aca="false">B39*C39</f>
        <v>300</v>
      </c>
      <c r="E39" s="12" t="s">
        <v>13</v>
      </c>
      <c r="F39" s="11" t="n">
        <f aca="false">IF(UPPER(E39)="Y",0,D39)</f>
        <v>300</v>
      </c>
      <c r="G39" s="12"/>
      <c r="H39" s="8"/>
      <c r="I39" s="8"/>
    </row>
    <row r="40" customFormat="false" ht="15" hidden="false" customHeight="false" outlineLevel="0" collapsed="false">
      <c r="A40" s="8" t="s">
        <v>52</v>
      </c>
      <c r="B40" s="9" t="n">
        <v>2</v>
      </c>
      <c r="C40" s="10" t="n">
        <v>250</v>
      </c>
      <c r="D40" s="11" t="n">
        <f aca="false">B40*C40</f>
        <v>500</v>
      </c>
      <c r="E40" s="12" t="s">
        <v>13</v>
      </c>
      <c r="F40" s="11" t="n">
        <f aca="false">IF(UPPER(E40)="Y",0,D40)</f>
        <v>500</v>
      </c>
      <c r="G40" s="12"/>
      <c r="H40" s="8"/>
      <c r="I40" s="8"/>
    </row>
    <row r="41" customFormat="false" ht="15" hidden="false" customHeight="false" outlineLevel="0" collapsed="false">
      <c r="A41" s="8" t="s">
        <v>53</v>
      </c>
      <c r="B41" s="9" t="n">
        <v>4</v>
      </c>
      <c r="C41" s="10" t="n">
        <v>100</v>
      </c>
      <c r="D41" s="11" t="n">
        <f aca="false">B41*C41</f>
        <v>400</v>
      </c>
      <c r="E41" s="12" t="s">
        <v>13</v>
      </c>
      <c r="F41" s="11" t="n">
        <f aca="false">IF(UPPER(E41)="Y",0,D41)</f>
        <v>400</v>
      </c>
      <c r="G41" s="12"/>
      <c r="H41" s="8"/>
      <c r="I41" s="8" t="s">
        <v>54</v>
      </c>
    </row>
    <row r="42" customFormat="false" ht="15" hidden="false" customHeight="false" outlineLevel="0" collapsed="false">
      <c r="A42" s="8" t="s">
        <v>55</v>
      </c>
      <c r="B42" s="9" t="n">
        <v>6</v>
      </c>
      <c r="C42" s="10" t="n">
        <v>60</v>
      </c>
      <c r="D42" s="11" t="n">
        <f aca="false">B42*C42</f>
        <v>360</v>
      </c>
      <c r="E42" s="12" t="s">
        <v>13</v>
      </c>
      <c r="F42" s="11" t="n">
        <f aca="false">IF(UPPER(E42)="Y",0,D42)</f>
        <v>360</v>
      </c>
      <c r="G42" s="12"/>
      <c r="H42" s="8"/>
      <c r="I42" s="8"/>
    </row>
    <row r="43" customFormat="false" ht="15" hidden="false" customHeight="false" outlineLevel="0" collapsed="false">
      <c r="A43" s="8" t="s">
        <v>56</v>
      </c>
      <c r="B43" s="9" t="n">
        <v>8</v>
      </c>
      <c r="C43" s="10" t="n">
        <v>30</v>
      </c>
      <c r="D43" s="11" t="n">
        <f aca="false">B43*C43</f>
        <v>240</v>
      </c>
      <c r="E43" s="12" t="s">
        <v>13</v>
      </c>
      <c r="F43" s="11" t="n">
        <f aca="false">IF(UPPER(E43)="Y",0,D43)</f>
        <v>240</v>
      </c>
      <c r="G43" s="12"/>
      <c r="H43" s="8"/>
      <c r="I43" s="8"/>
    </row>
    <row r="44" customFormat="false" ht="15" hidden="false" customHeight="false" outlineLevel="0" collapsed="false">
      <c r="A44" s="8" t="s">
        <v>57</v>
      </c>
      <c r="B44" s="9" t="n">
        <v>2</v>
      </c>
      <c r="C44" s="10" t="n">
        <v>40</v>
      </c>
      <c r="D44" s="11" t="n">
        <f aca="false">B44*C44</f>
        <v>80</v>
      </c>
      <c r="E44" s="12" t="s">
        <v>13</v>
      </c>
      <c r="F44" s="11" t="n">
        <f aca="false">IF(UPPER(E44)="Y",0,D44)</f>
        <v>80</v>
      </c>
      <c r="G44" s="12"/>
      <c r="H44" s="8"/>
      <c r="I44" s="8"/>
    </row>
    <row r="45" customFormat="false" ht="15" hidden="false" customHeight="false" outlineLevel="0" collapsed="false">
      <c r="A45" s="8" t="s">
        <v>58</v>
      </c>
      <c r="B45" s="9" t="n">
        <v>12</v>
      </c>
      <c r="C45" s="10" t="n">
        <v>8</v>
      </c>
      <c r="D45" s="11" t="n">
        <f aca="false">B45*C45</f>
        <v>96</v>
      </c>
      <c r="E45" s="12" t="s">
        <v>13</v>
      </c>
      <c r="F45" s="11" t="n">
        <f aca="false">IF(UPPER(E45)="Y",0,D45)</f>
        <v>96</v>
      </c>
      <c r="G45" s="12"/>
      <c r="H45" s="8"/>
      <c r="I45" s="8"/>
    </row>
    <row r="46" customFormat="false" ht="15" hidden="false" customHeight="false" outlineLevel="0" collapsed="false">
      <c r="A46" s="8" t="s">
        <v>59</v>
      </c>
      <c r="B46" s="9" t="n">
        <v>12</v>
      </c>
      <c r="C46" s="10" t="n">
        <v>7</v>
      </c>
      <c r="D46" s="11" t="n">
        <f aca="false">B46*C46</f>
        <v>84</v>
      </c>
      <c r="E46" s="12" t="s">
        <v>13</v>
      </c>
      <c r="F46" s="11" t="n">
        <f aca="false">IF(UPPER(E46)="Y",0,D46)</f>
        <v>84</v>
      </c>
      <c r="G46" s="12"/>
      <c r="H46" s="8"/>
      <c r="I46" s="8"/>
    </row>
    <row r="47" customFormat="false" ht="15" hidden="false" customHeight="false" outlineLevel="0" collapsed="false">
      <c r="A47" s="8" t="s">
        <v>60</v>
      </c>
      <c r="B47" s="9" t="n">
        <v>2</v>
      </c>
      <c r="C47" s="10" t="n">
        <v>60</v>
      </c>
      <c r="D47" s="11" t="n">
        <f aca="false">B47*C47</f>
        <v>120</v>
      </c>
      <c r="E47" s="12" t="s">
        <v>13</v>
      </c>
      <c r="F47" s="11" t="n">
        <f aca="false">IF(UPPER(E47)="Y",0,D47)</f>
        <v>120</v>
      </c>
      <c r="G47" s="12"/>
      <c r="H47" s="8"/>
      <c r="I47" s="8" t="s">
        <v>61</v>
      </c>
    </row>
    <row r="48" customFormat="false" ht="15" hidden="false" customHeight="false" outlineLevel="0" collapsed="false">
      <c r="A48" s="8" t="s">
        <v>62</v>
      </c>
      <c r="B48" s="9" t="n">
        <v>2</v>
      </c>
      <c r="C48" s="10" t="n">
        <v>60</v>
      </c>
      <c r="D48" s="11" t="n">
        <f aca="false">B48*C48</f>
        <v>120</v>
      </c>
      <c r="E48" s="12" t="s">
        <v>13</v>
      </c>
      <c r="F48" s="11" t="n">
        <f aca="false">IF(UPPER(E48)="Y",0,D48)</f>
        <v>120</v>
      </c>
      <c r="G48" s="12"/>
      <c r="H48" s="8"/>
      <c r="I48" s="8"/>
    </row>
    <row r="49" customFormat="false" ht="15" hidden="false" customHeight="false" outlineLevel="0" collapsed="false">
      <c r="A49" s="8" t="s">
        <v>63</v>
      </c>
      <c r="B49" s="9" t="n">
        <v>1</v>
      </c>
      <c r="C49" s="10" t="n">
        <v>100</v>
      </c>
      <c r="D49" s="11" t="n">
        <f aca="false">B49*C49</f>
        <v>100</v>
      </c>
      <c r="E49" s="12" t="s">
        <v>13</v>
      </c>
      <c r="F49" s="11" t="n">
        <f aca="false">IF(UPPER(E49)="Y",0,D49)</f>
        <v>100</v>
      </c>
      <c r="G49" s="12"/>
      <c r="H49" s="8"/>
      <c r="I49" s="8" t="s">
        <v>64</v>
      </c>
    </row>
    <row r="50" customFormat="false" ht="15" hidden="false" customHeight="false" outlineLevel="0" collapsed="false">
      <c r="A50" s="13" t="s">
        <v>65</v>
      </c>
      <c r="B50" s="14"/>
      <c r="C50" s="15"/>
      <c r="D50" s="15" t="n">
        <f aca="false">SUM(D36:D49)</f>
        <v>6700</v>
      </c>
      <c r="E50" s="14"/>
      <c r="F50" s="15" t="n">
        <f aca="false">SUM(F36:F49)</f>
        <v>6700</v>
      </c>
      <c r="G50" s="14"/>
      <c r="H50" s="13"/>
      <c r="I50" s="13"/>
    </row>
    <row r="51" customFormat="false" ht="15" hidden="false" customHeight="false" outlineLevel="0" collapsed="false">
      <c r="A51" s="16"/>
      <c r="B51" s="17"/>
      <c r="C51" s="18"/>
      <c r="D51" s="18"/>
      <c r="E51" s="17"/>
      <c r="F51" s="18"/>
      <c r="G51" s="17"/>
      <c r="H51" s="16"/>
      <c r="I51" s="16"/>
    </row>
    <row r="52" customFormat="false" ht="15" hidden="false" customHeight="false" outlineLevel="0" collapsed="false">
      <c r="A52" s="19" t="s">
        <v>66</v>
      </c>
      <c r="B52" s="20"/>
      <c r="C52" s="21"/>
      <c r="D52" s="21" t="n">
        <f aca="false">D13+D33+D50</f>
        <v>12984</v>
      </c>
      <c r="E52" s="20"/>
      <c r="F52" s="21" t="n">
        <f aca="false">F13+F33+F50</f>
        <v>12984</v>
      </c>
      <c r="G52" s="20"/>
      <c r="H52" s="19"/>
      <c r="I52" s="19"/>
    </row>
    <row r="53" customFormat="false" ht="15" hidden="false" customHeight="false" outlineLevel="0" collapsed="false">
      <c r="A53" s="22" t="s">
        <v>67</v>
      </c>
      <c r="B53" s="23"/>
      <c r="C53" s="24"/>
      <c r="D53" s="24" t="n">
        <f aca="false">D52/2</f>
        <v>6492</v>
      </c>
      <c r="E53" s="23"/>
      <c r="F53" s="24" t="n">
        <f aca="false">F52/2</f>
        <v>6492</v>
      </c>
      <c r="G53" s="23"/>
      <c r="H53" s="22"/>
      <c r="I53" s="22"/>
    </row>
    <row r="55" customFormat="false" ht="15" hidden="false" customHeight="false" outlineLevel="0" collapsed="false">
      <c r="A55" s="25" t="s">
        <v>10</v>
      </c>
    </row>
    <row r="56" customFormat="false" ht="15" hidden="false" customHeight="false" outlineLevel="0" collapsed="false">
      <c r="A56" s="26" t="s">
        <v>68</v>
      </c>
    </row>
    <row r="57" customFormat="false" ht="15" hidden="false" customHeight="false" outlineLevel="0" collapsed="false">
      <c r="A57" s="26" t="s">
        <v>69</v>
      </c>
    </row>
    <row r="58" customFormat="false" ht="15" hidden="false" customHeight="false" outlineLevel="0" collapsed="false">
      <c r="A58" s="26" t="s">
        <v>70</v>
      </c>
    </row>
    <row r="59" customFormat="false" ht="15" hidden="false" customHeight="false" outlineLevel="0" collapsed="false">
      <c r="A59" s="26" t="s">
        <v>71</v>
      </c>
    </row>
  </sheetData>
  <conditionalFormatting sqref="A6:I50">
    <cfRule type="expression" priority="2" aboveAverage="0" equalAverage="0" bottom="0" percent="0" rank="0" text="" dxfId="0">
      <formula>$G6="✓"</formula>
    </cfRule>
  </conditionalFormatting>
  <dataValidations count="2">
    <dataValidation allowBlank="true" errorStyle="stop" operator="between" showDropDown="false" showErrorMessage="false" showInputMessage="false" sqref="E6:E12 E16:E32 E36:E49" type="list">
      <formula1>"Y,N"</formula1>
      <formula2>0</formula2>
    </dataValidation>
    <dataValidation allowBlank="true" errorStyle="stop" operator="between" showDropDown="false" showErrorMessage="false" showInputMessage="false" sqref="G6:G12 G16:G32 G36:G49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2026-10-23T07:15:15Z</dcterms:created>
  <dc:creator>openpyxl</dc:creator>
  <dc:description/>
  <dc:language>en-US</dc:language>
  <cp:lastModifiedBy/>
  <dcterms:modified xsi:type="dcterms:W3CDTF">2026-10-23T07:15:16Z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