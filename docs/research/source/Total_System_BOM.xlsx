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earable Hub" sheetId="2" state="visible" r:id="rId4"/>
    <sheet name="Entry Chamber" sheetId="3" state="visible" r:id="rId5"/>
    <sheet name="Repeater Node" sheetId="4" state="visible" r:id="rId6"/>
    <sheet name="Surface &amp; Serv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<sst xmlns="http://schemas.openxmlformats.org/spreadsheetml/2006/main" count="171" uniqueCount="140">
  <si>
    <t xml:space="preserve">Total System Bill of Materials</t>
  </si>
  <si>
    <t xml:space="preserve">Intelligent Safety Gear Compliance, Health Monitoring, and Navigation System for Miners</t>
  </si>
  <si>
    <t xml:space="preserve">Change the yellow deployment-scale cells below; every sheet and total recalculates automatically.</t>
  </si>
  <si>
    <t xml:space="preserve">Deployment Scale (editable)</t>
  </si>
  <si>
    <t xml:space="preserve">Number of workers (wearable hubs)</t>
  </si>
  <si>
    <t xml:space="preserve">&lt;- workers</t>
  </si>
  <si>
    <t xml:space="preserve">Number of entry chambers (checkpoints)</t>
  </si>
  <si>
    <t xml:space="preserve">&lt;- chambers</t>
  </si>
  <si>
    <t xml:space="preserve">Number of underground repeater nodes</t>
  </si>
  <si>
    <t xml:space="preserve">&lt;- repeaters</t>
  </si>
  <si>
    <t xml:space="preserve">Number of surface gateways</t>
  </si>
  <si>
    <t xml:space="preserve">&lt;- gateways</t>
  </si>
  <si>
    <t xml:space="preserve">Number of on-premise servers</t>
  </si>
  <si>
    <t xml:space="preserve">&lt;- servers</t>
  </si>
  <si>
    <t xml:space="preserve">Subsystem Cost Summary</t>
  </si>
  <si>
    <t xml:space="preserve">Subsystem</t>
  </si>
  <si>
    <t xml:space="preserve">Unit cost (1x) INR</t>
  </si>
  <si>
    <t xml:space="preserve">Units deployed</t>
  </si>
  <si>
    <t xml:space="preserve">Subtotal (INR)</t>
  </si>
  <si>
    <t xml:space="preserve">Worker Wearable Hub (incl. tags)</t>
  </si>
  <si>
    <t xml:space="preserve">Entry Chamber (checkpoint)</t>
  </si>
  <si>
    <t xml:space="preserve">Underground Repeater Node</t>
  </si>
  <si>
    <t xml:space="preserve">Surface Gateway</t>
  </si>
  <si>
    <t xml:space="preserve">On-Premise Server</t>
  </si>
  <si>
    <t xml:space="preserve">GRAND TOTAL (Pilot Deployment)</t>
  </si>
  <si>
    <t xml:space="preserve">Note: costs are indicative India-market approximations for prototype/pilot budgeting as of mid-2026. Verify against current supplier quotes before finalizing a purchase order.</t>
  </si>
  <si>
    <t xml:space="preserve">Wearable Hub — Bill of Materials</t>
  </si>
  <si>
    <t xml:space="preserve">One complete worker wearable unit, including the four PPE item tags issued with it.</t>
  </si>
  <si>
    <t xml:space="preserve">S.No</t>
  </si>
  <si>
    <t xml:space="preserve">Component</t>
  </si>
  <si>
    <t xml:space="preserve">Specification / Part Number</t>
  </si>
  <si>
    <t xml:space="preserve">Function</t>
  </si>
  <si>
    <t xml:space="preserve">Unit Price (INR)</t>
  </si>
  <si>
    <t xml:space="preserve">Qty per Unit</t>
  </si>
  <si>
    <t xml:space="preserve">Deployed Units</t>
  </si>
  <si>
    <t xml:space="preserve">Total Qty</t>
  </si>
  <si>
    <t xml:space="preserve">Total Price (INR)</t>
  </si>
  <si>
    <t xml:space="preserve">Microcontroller</t>
  </si>
  <si>
    <t xml:space="preserve">ESP32-WROOM-32 Dev Board (Espressif, dual-core 240MHz, Wi-Fi + BLE 5.0)</t>
  </si>
  <si>
    <t xml:space="preserve">Central controller; sensor aggregation and radio management</t>
  </si>
  <si>
    <t xml:space="preserve">UWB Positioning Module</t>
  </si>
  <si>
    <t xml:space="preserve">DWM3000 (Qorvo/Decawave, IEEE 802.15.4z compliant)</t>
  </si>
  <si>
    <t xml:space="preserve">Sub-metre ranging against fixed underground UWB anchors</t>
  </si>
  <si>
    <t xml:space="preserve">Inertial Measurement Unit</t>
  </si>
  <si>
    <t xml:space="preserve">MPU-6050 (InvenSense, 6-axis accelerometer + gyroscope, I2C)</t>
  </si>
  <si>
    <t xml:space="preserve">Fall/impact detection, dead-reckoning between UWB fixes</t>
  </si>
  <si>
    <t xml:space="preserve">Heart Rate / SpO2 Sensor</t>
  </si>
  <si>
    <t xml:space="preserve">MAX30102 (Analog Devices, PPG optical sensor, I2C)</t>
  </si>
  <si>
    <t xml:space="preserve">Continuous heart rate and blood-oxygen monitoring</t>
  </si>
  <si>
    <t xml:space="preserve">Body Temperature Sensor</t>
  </si>
  <si>
    <t xml:space="preserve">MLX90614 (Melexis, non-contact IR thermometer, ±0.5°C, I2C)</t>
  </si>
  <si>
    <t xml:space="preserve">Continuous non-contact body temperature</t>
  </si>
  <si>
    <t xml:space="preserve">LoRa Radio Module</t>
  </si>
  <si>
    <t xml:space="preserve">SX1262-based module, e.g. E22-900T22S (Semtech, 868/915MHz, +22dBm)</t>
  </si>
  <si>
    <t xml:space="preserve">Long-range low-power backhaul to nearest repeater</t>
  </si>
  <si>
    <t xml:space="preserve">NFC Reader Module</t>
  </si>
  <si>
    <t xml:space="preserve">PN532 (NXP, 13.56MHz, I2C/SPI/UART)</t>
  </si>
  <si>
    <t xml:space="preserve">Reads worker ID badge at shift start, binds session to hub</t>
  </si>
  <si>
    <t xml:space="preserve">Gas Sensor (optional)</t>
  </si>
  <si>
    <t xml:space="preserve">MQ-2 module (combustible gas / smoke, analog output)</t>
  </si>
  <si>
    <t xml:space="preserve">Local per-worker hazard sensing</t>
  </si>
  <si>
    <t xml:space="preserve">Helmet Strap Microswitch</t>
  </si>
  <si>
    <t xml:space="preserve">SPDT micro limit switch, panel-mount</t>
  </si>
  <si>
    <t xml:space="preserve">Mechanical confirmation the chin strap is fastened</t>
  </si>
  <si>
    <t xml:space="preserve">SOS Push Button</t>
  </si>
  <si>
    <t xml:space="preserve">12mm waterproof momentary switch, illuminated</t>
  </si>
  <si>
    <t xml:space="preserve">Manual emergency escalation, bypasses automated rules</t>
  </si>
  <si>
    <t xml:space="preserve">Battery Pack</t>
  </si>
  <si>
    <t xml:space="preserve">18650 Li-ion cell, 3.7V 3400mAh (e.g. Samsung/LG INR18650) + TP4056 charge module</t>
  </si>
  <si>
    <t xml:space="preserve">Power for a full 8+ hour shift</t>
  </si>
  <si>
    <t xml:space="preserve">Enclosure, PCB &amp; Wiring</t>
  </si>
  <si>
    <t xml:space="preserve">Custom IP66-rated ABS enclosure, PCB, connectors</t>
  </si>
  <si>
    <t xml:space="preserve">Housing, protection, and assembly</t>
  </si>
  <si>
    <t xml:space="preserve">Worker ID Badge Tag</t>
  </si>
  <si>
    <t xml:space="preserve">NTAG213 NFC wristband tag (13.56MHz, 144-byte memory)</t>
  </si>
  <si>
    <t xml:space="preserve">Worker identity credential, read at chamber and hub</t>
  </si>
  <si>
    <t xml:space="preserve">PPE UHF RFID Tags</t>
  </si>
  <si>
    <t xml:space="preserve">Alien Higgs-3 UHF inlay (860-960MHz, EPC Gen2, adhesive)</t>
  </si>
  <si>
    <t xml:space="preserve">Embedded in helmet, vest, gloves, and boots (4 items)</t>
  </si>
  <si>
    <t xml:space="preserve">Cost per single unit (before multiplying by deployed count)</t>
  </si>
  <si>
    <t xml:space="preserve">Subtotal for all deployed units</t>
  </si>
  <si>
    <t xml:space="preserve">Entry Chamber — Bill of Materials</t>
  </si>
  <si>
    <t xml:space="preserve">One checkpoint (e.g. lamp room / shaft entrance) with PPE assignment and camera verification.</t>
  </si>
  <si>
    <t xml:space="preserve">UHF RFID Fixed Reader</t>
  </si>
  <si>
    <t xml:space="preserve">Chainway UR4, 4-port fixed reader (860-960MHz, EPC Gen2, Ethernet/RS232/Wiegand)</t>
  </si>
  <si>
    <t xml:space="preserve">Reads all PPE tags present in the chamber portal</t>
  </si>
  <si>
    <t xml:space="preserve">UHF Panel Antenna</t>
  </si>
  <si>
    <t xml:space="preserve">8dBi circular-polarized UHF antenna</t>
  </si>
  <si>
    <t xml:space="preserve">Portal read coverage across the walkway</t>
  </si>
  <si>
    <t xml:space="preserve">Edge AI Compute Unit</t>
  </si>
  <si>
    <t xml:space="preserve">Raspberry Pi 4 Model B, 4GB RAM</t>
  </si>
  <si>
    <t xml:space="preserve">Runs TensorFlow Lite YOLO PPE-detection model locally</t>
  </si>
  <si>
    <t xml:space="preserve">AI Verification Camera</t>
  </si>
  <si>
    <t xml:space="preserve">Raspberry Pi Camera Module 3 (12MP, autofocus)</t>
  </si>
  <si>
    <t xml:space="preserve">Captures worker image for camera-based PPE confirmation</t>
  </si>
  <si>
    <t xml:space="preserve">Fixed NFC Badge Reader</t>
  </si>
  <si>
    <t xml:space="preserve">PN532-based fixed reader unit, wall-mount</t>
  </si>
  <si>
    <t xml:space="preserve">Reads worker ID badge at chamber entrance</t>
  </si>
  <si>
    <t xml:space="preserve">Electromagnetic Door Lock</t>
  </si>
  <si>
    <t xml:space="preserve">12V DC solenoid lock, 280kg holding force</t>
  </si>
  <si>
    <t xml:space="preserve">Gate lock; releases only on verified PPE compliance</t>
  </si>
  <si>
    <t xml:space="preserve">Power Supply &amp; Mounting Hardware</t>
  </si>
  <si>
    <t xml:space="preserve">12V/5V SMPS, frame and mounting brackets</t>
  </si>
  <si>
    <t xml:space="preserve">Chamber power and physical structure</t>
  </si>
  <si>
    <t xml:space="preserve">Repeater Node — Bill of Materials</t>
  </si>
  <si>
    <t xml:space="preserve">One fixed underground node combining a UWB anchor and a communications relay.</t>
  </si>
  <si>
    <t xml:space="preserve">UWB Anchor Module</t>
  </si>
  <si>
    <t xml:space="preserve">DWM3000 (Qorvo/Decawave), fixed and surveyed installation</t>
  </si>
  <si>
    <t xml:space="preserve">Fixed positioning reference point for worker ranging</t>
  </si>
  <si>
    <t xml:space="preserve">LoRa Relay Transceivers</t>
  </si>
  <si>
    <t xml:space="preserve">SX1262-based modules (e.g. E22-900T22S)</t>
  </si>
  <si>
    <t xml:space="preserve">One link toward worker side, one toward next hop to surface</t>
  </si>
  <si>
    <t xml:space="preserve">Local Aggregator</t>
  </si>
  <si>
    <t xml:space="preserve">ESP32-WROOM-32 (light junctions) or Raspberry Pi 4 (busy junctions)</t>
  </si>
  <si>
    <t xml:space="preserve">Buffers and forwards data if next hop briefly unreachable</t>
  </si>
  <si>
    <t xml:space="preserve">Enclosure</t>
  </si>
  <si>
    <t xml:space="preserve">IP67 polycarbonate junction enclosure (ATEX-rated variant for gassy coal mines)</t>
  </si>
  <si>
    <t xml:space="preserve">Protection against dust, humidity, and vibration</t>
  </si>
  <si>
    <t xml:space="preserve">Power Module</t>
  </si>
  <si>
    <t xml:space="preserve">Mains-tap PSU with 12V/2200mAh battery backup</t>
  </si>
  <si>
    <t xml:space="preserve">Node power with backup during mains interruption</t>
  </si>
  <si>
    <t xml:space="preserve">Surface &amp; Server — Bill of Materials</t>
  </si>
  <si>
    <t xml:space="preserve">Surface gateway and on-premise server, priced separately since they scale on their own counts.</t>
  </si>
  <si>
    <t xml:space="preserve">Industrial LTE/Ethernet Gateway</t>
  </si>
  <si>
    <t xml:space="preserve">Teltonika RUT956, dual-SIM 4G router with Ethernet and I/O</t>
  </si>
  <si>
    <t xml:space="preserve">Aggregates repeater chain data, uplinks to internet</t>
  </si>
  <si>
    <t xml:space="preserve">LoRa Concentrator Gateway</t>
  </si>
  <si>
    <t xml:space="preserve">RAK2245, 8-channel LoRaWAN concentrator (Raspberry Pi HAT)</t>
  </si>
  <si>
    <t xml:space="preserve">Aggregates LoRa traffic from the repeater chain</t>
  </si>
  <si>
    <t xml:space="preserve">Surface Antenna &amp; Enclosure</t>
  </si>
  <si>
    <t xml:space="preserve">Combo LoRa/4G antenna, IP65 outdoor enclosure</t>
  </si>
  <si>
    <t xml:space="preserve">Surface unit housing and connectivity</t>
  </si>
  <si>
    <t xml:space="preserve">Cost per single gateway</t>
  </si>
  <si>
    <t xml:space="preserve">Subtotal for all deployed gateways</t>
  </si>
  <si>
    <t xml:space="preserve">On-Premise Edge Server</t>
  </si>
  <si>
    <t xml:space="preserve">Mini-PC / Edge Server, e.g. Intel NUC 13 Pro (i5, 16GB RAM, 512GB SSD)</t>
  </si>
  <si>
    <t xml:space="preserve">Hosts multilateration engine, database, and dashboard backend</t>
  </si>
  <si>
    <t xml:space="preserve">Cost per single server</t>
  </si>
  <si>
    <t xml:space="preserve">Subtotal for all deployed servers</t>
  </si>
  <si>
    <t xml:space="preserve">Note: cloud-hosted alternative (AWS/Azure VM) available in place of the on-premise server, at an approximate recurring cost of INR 3,000-6,000/month instead of the one-time capex above.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</si>
</sst>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DCE6F1"/>
        <bgColor rgb="FFFCE4D6"/>
      </patternFill>
    </fill>
    <fill>
      <patternFill patternType="solid">
        <fgColor rgb="FFFCE4D6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5" t="n">
        <v>20</v>
      </c>
      <c r="D6" s="2" t="s">
        <v>5</v>
      </c>
    </row>
    <row r="7" customFormat="false" ht="15" hidden="false" customHeight="false" outlineLevel="0" collapsed="false">
      <c r="A7" s="4" t="s">
        <v>6</v>
      </c>
      <c r="B7" s="5" t="n">
        <v>2</v>
      </c>
      <c r="D7" s="2" t="s">
        <v>7</v>
      </c>
    </row>
    <row r="8" customFormat="false" ht="15" hidden="false" customHeight="false" outlineLevel="0" collapsed="false">
      <c r="A8" s="4" t="s">
        <v>8</v>
      </c>
      <c r="B8" s="5" t="n">
        <v>8</v>
      </c>
      <c r="D8" s="2" t="s">
        <v>9</v>
      </c>
    </row>
    <row r="9" customFormat="false" ht="15" hidden="false" customHeight="false" outlineLevel="0" collapsed="false">
      <c r="A9" s="4" t="s">
        <v>10</v>
      </c>
      <c r="B9" s="5" t="n">
        <v>1</v>
      </c>
      <c r="D9" s="2" t="s">
        <v>11</v>
      </c>
    </row>
    <row r="10" customFormat="false" ht="15" hidden="false" customHeight="false" outlineLevel="0" collapsed="false">
      <c r="A10" s="4" t="s">
        <v>12</v>
      </c>
      <c r="B10" s="5" t="n">
        <v>1</v>
      </c>
      <c r="D10" s="2" t="s">
        <v>13</v>
      </c>
    </row>
    <row r="13" customFormat="false" ht="15" hidden="false" customHeight="false" outlineLevel="0" collapsed="false">
      <c r="A13" s="3" t="s">
        <v>14</v>
      </c>
    </row>
    <row r="14" customFormat="false" ht="23.85" hidden="false" customHeight="false" outlineLevel="0" collapsed="false">
      <c r="A14" s="6" t="s">
        <v>15</v>
      </c>
      <c r="B14" s="6" t="s">
        <v>16</v>
      </c>
      <c r="C14" s="6" t="s">
        <v>17</v>
      </c>
      <c r="D14" s="6" t="s">
        <v>18</v>
      </c>
    </row>
    <row r="15" customFormat="false" ht="15" hidden="false" customHeight="false" outlineLevel="0" collapsed="false">
      <c r="A15" s="7" t="s">
        <v>19</v>
      </c>
      <c r="B15" s="8" t="n">
        <f aca="false">'Wearable Hub'!$I$19</f>
        <v>5115</v>
      </c>
      <c r="C15" s="9" t="n">
        <f aca="false">B6</f>
        <v>20</v>
      </c>
      <c r="D15" s="8" t="n">
        <f aca="false">'Wearable Hub'!$I$20</f>
        <v>102300</v>
      </c>
    </row>
    <row r="16" customFormat="false" ht="15" hidden="false" customHeight="false" outlineLevel="0" collapsed="false">
      <c r="A16" s="10" t="s">
        <v>20</v>
      </c>
      <c r="B16" s="11" t="n">
        <f aca="false">'Entry Chamber'!$I$12</f>
        <v>46850</v>
      </c>
      <c r="C16" s="12" t="n">
        <f aca="false">B7</f>
        <v>2</v>
      </c>
      <c r="D16" s="11" t="n">
        <f aca="false">'Entry Chamber'!$I$13</f>
        <v>93700</v>
      </c>
    </row>
    <row r="17" customFormat="false" ht="15" hidden="false" customHeight="false" outlineLevel="0" collapsed="false">
      <c r="A17" s="7" t="s">
        <v>21</v>
      </c>
      <c r="B17" s="8" t="n">
        <f aca="false">'Repeater Node'!$I$10</f>
        <v>4750</v>
      </c>
      <c r="C17" s="9" t="n">
        <f aca="false">B8</f>
        <v>8</v>
      </c>
      <c r="D17" s="8" t="n">
        <f aca="false">'Repeater Node'!$I$11</f>
        <v>38000</v>
      </c>
    </row>
    <row r="18" customFormat="false" ht="15" hidden="false" customHeight="false" outlineLevel="0" collapsed="false">
      <c r="A18" s="10" t="s">
        <v>22</v>
      </c>
      <c r="B18" s="11" t="n">
        <f aca="false">'Surface &amp; Server'!$I$8</f>
        <v>22000</v>
      </c>
      <c r="C18" s="12" t="n">
        <f aca="false">B9</f>
        <v>1</v>
      </c>
      <c r="D18" s="11" t="n">
        <f aca="false">'Surface &amp; Server'!$I$9</f>
        <v>22000</v>
      </c>
    </row>
    <row r="19" customFormat="false" ht="15" hidden="false" customHeight="false" outlineLevel="0" collapsed="false">
      <c r="A19" s="7" t="s">
        <v>23</v>
      </c>
      <c r="B19" s="8" t="n">
        <f aca="false">'Surface &amp; Server'!$I$12</f>
        <v>45000</v>
      </c>
      <c r="C19" s="9" t="n">
        <f aca="false">B10</f>
        <v>1</v>
      </c>
      <c r="D19" s="8" t="n">
        <f aca="false">'Surface &amp; Server'!$I$13</f>
        <v>45000</v>
      </c>
    </row>
    <row r="20" customFormat="false" ht="15" hidden="false" customHeight="false" outlineLevel="0" collapsed="false">
      <c r="A20" s="13" t="s">
        <v>24</v>
      </c>
      <c r="B20" s="14"/>
      <c r="C20" s="14"/>
      <c r="D20" s="15" t="n">
        <f aca="false">SUM(D15:D19)</f>
        <v>301000</v>
      </c>
    </row>
    <row r="22" customFormat="false" ht="30" hidden="false" customHeight="true" outlineLevel="0" collapsed="false">
      <c r="A22" s="16" t="s">
        <v>25</v>
      </c>
      <c r="B22" s="16"/>
      <c r="C22" s="16"/>
      <c r="D22" s="16"/>
    </row>
  </sheetData>
  <mergeCells count="1"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23.8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</row>
    <row r="5" customFormat="false" ht="35.05" hidden="false" customHeight="false" outlineLevel="0" collapsed="false">
      <c r="A5" s="17" t="n">
        <v>1</v>
      </c>
      <c r="B5" s="18" t="s">
        <v>37</v>
      </c>
      <c r="C5" s="18" t="s">
        <v>38</v>
      </c>
      <c r="D5" s="18" t="s">
        <v>39</v>
      </c>
      <c r="E5" s="19" t="n">
        <v>450</v>
      </c>
      <c r="F5" s="20" t="n">
        <v>1</v>
      </c>
      <c r="G5" s="21" t="n">
        <f aca="false">Summary!$B$6</f>
        <v>20</v>
      </c>
      <c r="H5" s="17" t="n">
        <f aca="false">F5*G5</f>
        <v>20</v>
      </c>
      <c r="I5" s="22" t="n">
        <f aca="false">E5*H5</f>
        <v>9000</v>
      </c>
    </row>
    <row r="6" customFormat="false" ht="23.85" hidden="false" customHeight="false" outlineLevel="0" collapsed="false">
      <c r="A6" s="23" t="n">
        <v>2</v>
      </c>
      <c r="B6" s="24" t="s">
        <v>40</v>
      </c>
      <c r="C6" s="24" t="s">
        <v>41</v>
      </c>
      <c r="D6" s="24" t="s">
        <v>42</v>
      </c>
      <c r="E6" s="25" t="n">
        <v>2000</v>
      </c>
      <c r="F6" s="26" t="n">
        <v>1</v>
      </c>
      <c r="G6" s="27" t="n">
        <f aca="false">Summary!$B$6</f>
        <v>20</v>
      </c>
      <c r="H6" s="23" t="n">
        <f aca="false">F6*G6</f>
        <v>20</v>
      </c>
      <c r="I6" s="28" t="n">
        <f aca="false">E6*H6</f>
        <v>40000</v>
      </c>
    </row>
    <row r="7" customFormat="false" ht="23.85" hidden="false" customHeight="false" outlineLevel="0" collapsed="false">
      <c r="A7" s="17" t="n">
        <v>3</v>
      </c>
      <c r="B7" s="18" t="s">
        <v>43</v>
      </c>
      <c r="C7" s="18" t="s">
        <v>44</v>
      </c>
      <c r="D7" s="18" t="s">
        <v>45</v>
      </c>
      <c r="E7" s="19" t="n">
        <v>100</v>
      </c>
      <c r="F7" s="20" t="n">
        <v>1</v>
      </c>
      <c r="G7" s="21" t="n">
        <f aca="false">Summary!$B$6</f>
        <v>20</v>
      </c>
      <c r="H7" s="17" t="n">
        <f aca="false">F7*G7</f>
        <v>20</v>
      </c>
      <c r="I7" s="22" t="n">
        <f aca="false">E7*H7</f>
        <v>2000</v>
      </c>
    </row>
    <row r="8" customFormat="false" ht="23.85" hidden="false" customHeight="false" outlineLevel="0" collapsed="false">
      <c r="A8" s="23" t="n">
        <v>4</v>
      </c>
      <c r="B8" s="24" t="s">
        <v>46</v>
      </c>
      <c r="C8" s="24" t="s">
        <v>47</v>
      </c>
      <c r="D8" s="24" t="s">
        <v>48</v>
      </c>
      <c r="E8" s="25" t="n">
        <v>200</v>
      </c>
      <c r="F8" s="26" t="n">
        <v>1</v>
      </c>
      <c r="G8" s="27" t="n">
        <f aca="false">Summary!$B$6</f>
        <v>20</v>
      </c>
      <c r="H8" s="23" t="n">
        <f aca="false">F8*G8</f>
        <v>20</v>
      </c>
      <c r="I8" s="28" t="n">
        <f aca="false">E8*H8</f>
        <v>4000</v>
      </c>
    </row>
    <row r="9" customFormat="false" ht="23.85" hidden="false" customHeight="false" outlineLevel="0" collapsed="false">
      <c r="A9" s="17" t="n">
        <v>5</v>
      </c>
      <c r="B9" s="18" t="s">
        <v>49</v>
      </c>
      <c r="C9" s="18" t="s">
        <v>50</v>
      </c>
      <c r="D9" s="18" t="s">
        <v>51</v>
      </c>
      <c r="E9" s="19" t="n">
        <v>600</v>
      </c>
      <c r="F9" s="20" t="n">
        <v>1</v>
      </c>
      <c r="G9" s="21" t="n">
        <f aca="false">Summary!$B$6</f>
        <v>20</v>
      </c>
      <c r="H9" s="17" t="n">
        <f aca="false">F9*G9</f>
        <v>20</v>
      </c>
      <c r="I9" s="22" t="n">
        <f aca="false">E9*H9</f>
        <v>12000</v>
      </c>
    </row>
    <row r="10" customFormat="false" ht="35.05" hidden="false" customHeight="false" outlineLevel="0" collapsed="false">
      <c r="A10" s="23" t="n">
        <v>6</v>
      </c>
      <c r="B10" s="24" t="s">
        <v>52</v>
      </c>
      <c r="C10" s="24" t="s">
        <v>53</v>
      </c>
      <c r="D10" s="24" t="s">
        <v>54</v>
      </c>
      <c r="E10" s="25" t="n">
        <v>400</v>
      </c>
      <c r="F10" s="26" t="n">
        <v>1</v>
      </c>
      <c r="G10" s="27" t="n">
        <f aca="false">Summary!$B$6</f>
        <v>20</v>
      </c>
      <c r="H10" s="23" t="n">
        <f aca="false">F10*G10</f>
        <v>20</v>
      </c>
      <c r="I10" s="28" t="n">
        <f aca="false">E10*H10</f>
        <v>8000</v>
      </c>
    </row>
    <row r="11" customFormat="false" ht="23.85" hidden="false" customHeight="false" outlineLevel="0" collapsed="false">
      <c r="A11" s="17" t="n">
        <v>7</v>
      </c>
      <c r="B11" s="18" t="s">
        <v>55</v>
      </c>
      <c r="C11" s="18" t="s">
        <v>56</v>
      </c>
      <c r="D11" s="18" t="s">
        <v>57</v>
      </c>
      <c r="E11" s="19" t="n">
        <v>350</v>
      </c>
      <c r="F11" s="20" t="n">
        <v>1</v>
      </c>
      <c r="G11" s="21" t="n">
        <f aca="false">Summary!$B$6</f>
        <v>20</v>
      </c>
      <c r="H11" s="17" t="n">
        <f aca="false">F11*G11</f>
        <v>20</v>
      </c>
      <c r="I11" s="22" t="n">
        <f aca="false">E11*H11</f>
        <v>7000</v>
      </c>
    </row>
    <row r="12" customFormat="false" ht="23.85" hidden="false" customHeight="false" outlineLevel="0" collapsed="false">
      <c r="A12" s="23" t="n">
        <v>8</v>
      </c>
      <c r="B12" s="24" t="s">
        <v>58</v>
      </c>
      <c r="C12" s="24" t="s">
        <v>59</v>
      </c>
      <c r="D12" s="24" t="s">
        <v>60</v>
      </c>
      <c r="E12" s="25" t="n">
        <v>150</v>
      </c>
      <c r="F12" s="26" t="n">
        <v>1</v>
      </c>
      <c r="G12" s="27" t="n">
        <f aca="false">Summary!$B$6</f>
        <v>20</v>
      </c>
      <c r="H12" s="23" t="n">
        <f aca="false">F12*G12</f>
        <v>20</v>
      </c>
      <c r="I12" s="28" t="n">
        <f aca="false">E12*H12</f>
        <v>3000</v>
      </c>
    </row>
    <row r="13" customFormat="false" ht="23.85" hidden="false" customHeight="false" outlineLevel="0" collapsed="false">
      <c r="A13" s="17" t="n">
        <v>9</v>
      </c>
      <c r="B13" s="18" t="s">
        <v>61</v>
      </c>
      <c r="C13" s="18" t="s">
        <v>62</v>
      </c>
      <c r="D13" s="18" t="s">
        <v>63</v>
      </c>
      <c r="E13" s="19" t="n">
        <v>40</v>
      </c>
      <c r="F13" s="20" t="n">
        <v>1</v>
      </c>
      <c r="G13" s="21" t="n">
        <f aca="false">Summary!$B$6</f>
        <v>20</v>
      </c>
      <c r="H13" s="17" t="n">
        <f aca="false">F13*G13</f>
        <v>20</v>
      </c>
      <c r="I13" s="22" t="n">
        <f aca="false">E13*H13</f>
        <v>800</v>
      </c>
    </row>
    <row r="14" customFormat="false" ht="23.85" hidden="false" customHeight="false" outlineLevel="0" collapsed="false">
      <c r="A14" s="23" t="n">
        <v>10</v>
      </c>
      <c r="B14" s="24" t="s">
        <v>64</v>
      </c>
      <c r="C14" s="24" t="s">
        <v>65</v>
      </c>
      <c r="D14" s="24" t="s">
        <v>66</v>
      </c>
      <c r="E14" s="25" t="n">
        <v>30</v>
      </c>
      <c r="F14" s="26" t="n">
        <v>1</v>
      </c>
      <c r="G14" s="27" t="n">
        <f aca="false">Summary!$B$6</f>
        <v>20</v>
      </c>
      <c r="H14" s="23" t="n">
        <f aca="false">F14*G14</f>
        <v>20</v>
      </c>
      <c r="I14" s="28" t="n">
        <f aca="false">E14*H14</f>
        <v>600</v>
      </c>
    </row>
    <row r="15" customFormat="false" ht="35.05" hidden="false" customHeight="false" outlineLevel="0" collapsed="false">
      <c r="A15" s="17" t="n">
        <v>11</v>
      </c>
      <c r="B15" s="18" t="s">
        <v>67</v>
      </c>
      <c r="C15" s="18" t="s">
        <v>68</v>
      </c>
      <c r="D15" s="18" t="s">
        <v>69</v>
      </c>
      <c r="E15" s="19" t="n">
        <v>350</v>
      </c>
      <c r="F15" s="20" t="n">
        <v>1</v>
      </c>
      <c r="G15" s="21" t="n">
        <f aca="false">Summary!$B$6</f>
        <v>20</v>
      </c>
      <c r="H15" s="17" t="n">
        <f aca="false">F15*G15</f>
        <v>20</v>
      </c>
      <c r="I15" s="22" t="n">
        <f aca="false">E15*H15</f>
        <v>7000</v>
      </c>
    </row>
    <row r="16" customFormat="false" ht="23.85" hidden="false" customHeight="false" outlineLevel="0" collapsed="false">
      <c r="A16" s="23" t="n">
        <v>12</v>
      </c>
      <c r="B16" s="24" t="s">
        <v>70</v>
      </c>
      <c r="C16" s="24" t="s">
        <v>71</v>
      </c>
      <c r="D16" s="24" t="s">
        <v>72</v>
      </c>
      <c r="E16" s="25" t="n">
        <v>300</v>
      </c>
      <c r="F16" s="26" t="n">
        <v>1</v>
      </c>
      <c r="G16" s="27" t="n">
        <f aca="false">Summary!$B$6</f>
        <v>20</v>
      </c>
      <c r="H16" s="23" t="n">
        <f aca="false">F16*G16</f>
        <v>20</v>
      </c>
      <c r="I16" s="28" t="n">
        <f aca="false">E16*H16</f>
        <v>6000</v>
      </c>
    </row>
    <row r="17" customFormat="false" ht="23.85" hidden="false" customHeight="false" outlineLevel="0" collapsed="false">
      <c r="A17" s="17" t="n">
        <v>13</v>
      </c>
      <c r="B17" s="18" t="s">
        <v>73</v>
      </c>
      <c r="C17" s="18" t="s">
        <v>74</v>
      </c>
      <c r="D17" s="18" t="s">
        <v>75</v>
      </c>
      <c r="E17" s="19" t="n">
        <v>25</v>
      </c>
      <c r="F17" s="20" t="n">
        <v>1</v>
      </c>
      <c r="G17" s="21" t="n">
        <f aca="false">Summary!$B$6</f>
        <v>20</v>
      </c>
      <c r="H17" s="17" t="n">
        <f aca="false">F17*G17</f>
        <v>20</v>
      </c>
      <c r="I17" s="22" t="n">
        <f aca="false">E17*H17</f>
        <v>500</v>
      </c>
    </row>
    <row r="18" customFormat="false" ht="23.85" hidden="false" customHeight="false" outlineLevel="0" collapsed="false">
      <c r="A18" s="23" t="n">
        <v>14</v>
      </c>
      <c r="B18" s="24" t="s">
        <v>76</v>
      </c>
      <c r="C18" s="24" t="s">
        <v>77</v>
      </c>
      <c r="D18" s="24" t="s">
        <v>78</v>
      </c>
      <c r="E18" s="25" t="n">
        <v>30</v>
      </c>
      <c r="F18" s="26" t="n">
        <v>4</v>
      </c>
      <c r="G18" s="27" t="n">
        <f aca="false">Summary!$B$6</f>
        <v>20</v>
      </c>
      <c r="H18" s="23" t="n">
        <f aca="false">F18*G18</f>
        <v>80</v>
      </c>
      <c r="I18" s="28" t="n">
        <f aca="false">E18*H18</f>
        <v>2400</v>
      </c>
    </row>
    <row r="19" customFormat="false" ht="15" hidden="false" customHeight="false" outlineLevel="0" collapsed="false">
      <c r="A19" s="14"/>
      <c r="B19" s="14"/>
      <c r="C19" s="14"/>
      <c r="D19" s="29" t="s">
        <v>79</v>
      </c>
      <c r="E19" s="14"/>
      <c r="F19" s="14"/>
      <c r="G19" s="14"/>
      <c r="H19" s="14"/>
      <c r="I19" s="30" t="n">
        <f aca="false">SUMPRODUCT(E5:E18,F5:F18)</f>
        <v>5115</v>
      </c>
    </row>
    <row r="20" customFormat="false" ht="15" hidden="false" customHeight="false" outlineLevel="0" collapsed="false">
      <c r="A20" s="14"/>
      <c r="B20" s="14"/>
      <c r="C20" s="14"/>
      <c r="D20" s="29" t="s">
        <v>80</v>
      </c>
      <c r="E20" s="14"/>
      <c r="F20" s="14"/>
      <c r="G20" s="14"/>
      <c r="H20" s="14"/>
      <c r="I20" s="30" t="n">
        <f aca="false">SUM(I5:I18)</f>
        <v>102300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23.8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</row>
    <row r="5" customFormat="false" ht="35.05" hidden="false" customHeight="false" outlineLevel="0" collapsed="false">
      <c r="A5" s="17" t="n">
        <v>1</v>
      </c>
      <c r="B5" s="18" t="s">
        <v>83</v>
      </c>
      <c r="C5" s="18" t="s">
        <v>84</v>
      </c>
      <c r="D5" s="18" t="s">
        <v>85</v>
      </c>
      <c r="E5" s="19" t="n">
        <v>28000</v>
      </c>
      <c r="F5" s="20" t="n">
        <v>1</v>
      </c>
      <c r="G5" s="21" t="n">
        <f aca="false">Summary!$B$7</f>
        <v>2</v>
      </c>
      <c r="H5" s="17" t="n">
        <f aca="false">F5*G5</f>
        <v>2</v>
      </c>
      <c r="I5" s="22" t="n">
        <f aca="false">E5*H5</f>
        <v>56000</v>
      </c>
    </row>
    <row r="6" customFormat="false" ht="23.85" hidden="false" customHeight="false" outlineLevel="0" collapsed="false">
      <c r="A6" s="23" t="n">
        <v>2</v>
      </c>
      <c r="B6" s="24" t="s">
        <v>86</v>
      </c>
      <c r="C6" s="24" t="s">
        <v>87</v>
      </c>
      <c r="D6" s="24" t="s">
        <v>88</v>
      </c>
      <c r="E6" s="25" t="n">
        <v>3000</v>
      </c>
      <c r="F6" s="26" t="n">
        <v>2</v>
      </c>
      <c r="G6" s="27" t="n">
        <f aca="false">Summary!$B$7</f>
        <v>2</v>
      </c>
      <c r="H6" s="23" t="n">
        <f aca="false">F6*G6</f>
        <v>4</v>
      </c>
      <c r="I6" s="28" t="n">
        <f aca="false">E6*H6</f>
        <v>12000</v>
      </c>
    </row>
    <row r="7" customFormat="false" ht="23.85" hidden="false" customHeight="false" outlineLevel="0" collapsed="false">
      <c r="A7" s="17" t="n">
        <v>3</v>
      </c>
      <c r="B7" s="18" t="s">
        <v>89</v>
      </c>
      <c r="C7" s="18" t="s">
        <v>90</v>
      </c>
      <c r="D7" s="18" t="s">
        <v>91</v>
      </c>
      <c r="E7" s="19" t="n">
        <v>5500</v>
      </c>
      <c r="F7" s="20" t="n">
        <v>1</v>
      </c>
      <c r="G7" s="21" t="n">
        <f aca="false">Summary!$B$7</f>
        <v>2</v>
      </c>
      <c r="H7" s="17" t="n">
        <f aca="false">F7*G7</f>
        <v>2</v>
      </c>
      <c r="I7" s="22" t="n">
        <f aca="false">E7*H7</f>
        <v>11000</v>
      </c>
    </row>
    <row r="8" customFormat="false" ht="23.85" hidden="false" customHeight="false" outlineLevel="0" collapsed="false">
      <c r="A8" s="23" t="n">
        <v>4</v>
      </c>
      <c r="B8" s="24" t="s">
        <v>92</v>
      </c>
      <c r="C8" s="24" t="s">
        <v>93</v>
      </c>
      <c r="D8" s="24" t="s">
        <v>94</v>
      </c>
      <c r="E8" s="25" t="n">
        <v>2500</v>
      </c>
      <c r="F8" s="26" t="n">
        <v>1</v>
      </c>
      <c r="G8" s="27" t="n">
        <f aca="false">Summary!$B$7</f>
        <v>2</v>
      </c>
      <c r="H8" s="23" t="n">
        <f aca="false">F8*G8</f>
        <v>2</v>
      </c>
      <c r="I8" s="28" t="n">
        <f aca="false">E8*H8</f>
        <v>5000</v>
      </c>
    </row>
    <row r="9" customFormat="false" ht="23.85" hidden="false" customHeight="false" outlineLevel="0" collapsed="false">
      <c r="A9" s="17" t="n">
        <v>5</v>
      </c>
      <c r="B9" s="18" t="s">
        <v>95</v>
      </c>
      <c r="C9" s="18" t="s">
        <v>96</v>
      </c>
      <c r="D9" s="18" t="s">
        <v>97</v>
      </c>
      <c r="E9" s="19" t="n">
        <v>350</v>
      </c>
      <c r="F9" s="20" t="n">
        <v>1</v>
      </c>
      <c r="G9" s="21" t="n">
        <f aca="false">Summary!$B$7</f>
        <v>2</v>
      </c>
      <c r="H9" s="17" t="n">
        <f aca="false">F9*G9</f>
        <v>2</v>
      </c>
      <c r="I9" s="22" t="n">
        <f aca="false">E9*H9</f>
        <v>700</v>
      </c>
    </row>
    <row r="10" customFormat="false" ht="23.85" hidden="false" customHeight="false" outlineLevel="0" collapsed="false">
      <c r="A10" s="23" t="n">
        <v>6</v>
      </c>
      <c r="B10" s="24" t="s">
        <v>98</v>
      </c>
      <c r="C10" s="24" t="s">
        <v>99</v>
      </c>
      <c r="D10" s="24" t="s">
        <v>100</v>
      </c>
      <c r="E10" s="25" t="n">
        <v>1500</v>
      </c>
      <c r="F10" s="26" t="n">
        <v>1</v>
      </c>
      <c r="G10" s="27" t="n">
        <f aca="false">Summary!$B$7</f>
        <v>2</v>
      </c>
      <c r="H10" s="23" t="n">
        <f aca="false">F10*G10</f>
        <v>2</v>
      </c>
      <c r="I10" s="28" t="n">
        <f aca="false">E10*H10</f>
        <v>3000</v>
      </c>
    </row>
    <row r="11" customFormat="false" ht="23.85" hidden="false" customHeight="false" outlineLevel="0" collapsed="false">
      <c r="A11" s="17" t="n">
        <v>7</v>
      </c>
      <c r="B11" s="18" t="s">
        <v>101</v>
      </c>
      <c r="C11" s="18" t="s">
        <v>102</v>
      </c>
      <c r="D11" s="18" t="s">
        <v>103</v>
      </c>
      <c r="E11" s="19" t="n">
        <v>3000</v>
      </c>
      <c r="F11" s="20" t="n">
        <v>1</v>
      </c>
      <c r="G11" s="21" t="n">
        <f aca="false">Summary!$B$7</f>
        <v>2</v>
      </c>
      <c r="H11" s="17" t="n">
        <f aca="false">F11*G11</f>
        <v>2</v>
      </c>
      <c r="I11" s="22" t="n">
        <f aca="false">E11*H11</f>
        <v>6000</v>
      </c>
    </row>
    <row r="12" customFormat="false" ht="15" hidden="false" customHeight="false" outlineLevel="0" collapsed="false">
      <c r="A12" s="14"/>
      <c r="B12" s="14"/>
      <c r="C12" s="14"/>
      <c r="D12" s="29" t="s">
        <v>79</v>
      </c>
      <c r="E12" s="14"/>
      <c r="F12" s="14"/>
      <c r="G12" s="14"/>
      <c r="H12" s="14"/>
      <c r="I12" s="30" t="n">
        <f aca="false">SUMPRODUCT(E5:E11,F5:F11)</f>
        <v>46850</v>
      </c>
    </row>
    <row r="13" customFormat="false" ht="15" hidden="false" customHeight="false" outlineLevel="0" collapsed="false">
      <c r="A13" s="14"/>
      <c r="B13" s="14"/>
      <c r="C13" s="14"/>
      <c r="D13" s="29" t="s">
        <v>80</v>
      </c>
      <c r="E13" s="14"/>
      <c r="F13" s="14"/>
      <c r="G13" s="14"/>
      <c r="H13" s="14"/>
      <c r="I13" s="30" t="n">
        <f aca="false">SUM(I5:I11)</f>
        <v>93700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23.8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</row>
    <row r="5" customFormat="false" ht="23.85" hidden="false" customHeight="false" outlineLevel="0" collapsed="false">
      <c r="A5" s="17" t="n">
        <v>1</v>
      </c>
      <c r="B5" s="18" t="s">
        <v>106</v>
      </c>
      <c r="C5" s="18" t="s">
        <v>107</v>
      </c>
      <c r="D5" s="18" t="s">
        <v>108</v>
      </c>
      <c r="E5" s="19" t="n">
        <v>2000</v>
      </c>
      <c r="F5" s="20" t="n">
        <v>1</v>
      </c>
      <c r="G5" s="21" t="n">
        <f aca="false">Summary!$B$8</f>
        <v>8</v>
      </c>
      <c r="H5" s="17" t="n">
        <f aca="false">F5*G5</f>
        <v>8</v>
      </c>
      <c r="I5" s="22" t="n">
        <f aca="false">E5*H5</f>
        <v>16000</v>
      </c>
    </row>
    <row r="6" customFormat="false" ht="23.85" hidden="false" customHeight="false" outlineLevel="0" collapsed="false">
      <c r="A6" s="23" t="n">
        <v>2</v>
      </c>
      <c r="B6" s="24" t="s">
        <v>109</v>
      </c>
      <c r="C6" s="24" t="s">
        <v>110</v>
      </c>
      <c r="D6" s="24" t="s">
        <v>111</v>
      </c>
      <c r="E6" s="25" t="n">
        <v>400</v>
      </c>
      <c r="F6" s="26" t="n">
        <v>2</v>
      </c>
      <c r="G6" s="27" t="n">
        <f aca="false">Summary!$B$8</f>
        <v>8</v>
      </c>
      <c r="H6" s="23" t="n">
        <f aca="false">F6*G6</f>
        <v>16</v>
      </c>
      <c r="I6" s="28" t="n">
        <f aca="false">E6*H6</f>
        <v>6400</v>
      </c>
    </row>
    <row r="7" customFormat="false" ht="23.85" hidden="false" customHeight="false" outlineLevel="0" collapsed="false">
      <c r="A7" s="17" t="n">
        <v>3</v>
      </c>
      <c r="B7" s="18" t="s">
        <v>112</v>
      </c>
      <c r="C7" s="18" t="s">
        <v>113</v>
      </c>
      <c r="D7" s="18" t="s">
        <v>114</v>
      </c>
      <c r="E7" s="19" t="n">
        <v>450</v>
      </c>
      <c r="F7" s="20" t="n">
        <v>1</v>
      </c>
      <c r="G7" s="21" t="n">
        <f aca="false">Summary!$B$8</f>
        <v>8</v>
      </c>
      <c r="H7" s="17" t="n">
        <f aca="false">F7*G7</f>
        <v>8</v>
      </c>
      <c r="I7" s="22" t="n">
        <f aca="false">E7*H7</f>
        <v>3600</v>
      </c>
    </row>
    <row r="8" customFormat="false" ht="35.05" hidden="false" customHeight="false" outlineLevel="0" collapsed="false">
      <c r="A8" s="23" t="n">
        <v>4</v>
      </c>
      <c r="B8" s="24" t="s">
        <v>115</v>
      </c>
      <c r="C8" s="24" t="s">
        <v>116</v>
      </c>
      <c r="D8" s="24" t="s">
        <v>117</v>
      </c>
      <c r="E8" s="25" t="n">
        <v>800</v>
      </c>
      <c r="F8" s="26" t="n">
        <v>1</v>
      </c>
      <c r="G8" s="27" t="n">
        <f aca="false">Summary!$B$8</f>
        <v>8</v>
      </c>
      <c r="H8" s="23" t="n">
        <f aca="false">F8*G8</f>
        <v>8</v>
      </c>
      <c r="I8" s="28" t="n">
        <f aca="false">E8*H8</f>
        <v>6400</v>
      </c>
    </row>
    <row r="9" customFormat="false" ht="23.85" hidden="false" customHeight="false" outlineLevel="0" collapsed="false">
      <c r="A9" s="17" t="n">
        <v>5</v>
      </c>
      <c r="B9" s="18" t="s">
        <v>118</v>
      </c>
      <c r="C9" s="18" t="s">
        <v>119</v>
      </c>
      <c r="D9" s="18" t="s">
        <v>120</v>
      </c>
      <c r="E9" s="19" t="n">
        <v>700</v>
      </c>
      <c r="F9" s="20" t="n">
        <v>1</v>
      </c>
      <c r="G9" s="21" t="n">
        <f aca="false">Summary!$B$8</f>
        <v>8</v>
      </c>
      <c r="H9" s="17" t="n">
        <f aca="false">F9*G9</f>
        <v>8</v>
      </c>
      <c r="I9" s="22" t="n">
        <f aca="false">E9*H9</f>
        <v>5600</v>
      </c>
    </row>
    <row r="10" customFormat="false" ht="15" hidden="false" customHeight="false" outlineLevel="0" collapsed="false">
      <c r="A10" s="14"/>
      <c r="B10" s="14"/>
      <c r="C10" s="14"/>
      <c r="D10" s="29" t="s">
        <v>79</v>
      </c>
      <c r="E10" s="14"/>
      <c r="F10" s="14"/>
      <c r="G10" s="14"/>
      <c r="H10" s="14"/>
      <c r="I10" s="30" t="n">
        <f aca="false">SUMPRODUCT(E5:E9,F5:F9)</f>
        <v>4750</v>
      </c>
    </row>
    <row r="11" customFormat="false" ht="15" hidden="false" customHeight="false" outlineLevel="0" collapsed="false">
      <c r="A11" s="14"/>
      <c r="B11" s="14"/>
      <c r="C11" s="14"/>
      <c r="D11" s="29" t="s">
        <v>80</v>
      </c>
      <c r="E11" s="14"/>
      <c r="F11" s="14"/>
      <c r="G11" s="14"/>
      <c r="H11" s="14"/>
      <c r="I11" s="30" t="n">
        <f aca="false">SUM(I5:I9)</f>
        <v>38000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23.8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</row>
    <row r="5" customFormat="false" ht="23.85" hidden="false" customHeight="false" outlineLevel="0" collapsed="false">
      <c r="A5" s="17" t="n">
        <v>1</v>
      </c>
      <c r="B5" s="18" t="s">
        <v>123</v>
      </c>
      <c r="C5" s="18" t="s">
        <v>124</v>
      </c>
      <c r="D5" s="18" t="s">
        <v>125</v>
      </c>
      <c r="E5" s="19" t="n">
        <v>12000</v>
      </c>
      <c r="F5" s="20" t="n">
        <v>1</v>
      </c>
      <c r="G5" s="21" t="n">
        <f aca="false">Summary!$B$9</f>
        <v>1</v>
      </c>
      <c r="H5" s="17" t="n">
        <f aca="false">F5*G5</f>
        <v>1</v>
      </c>
      <c r="I5" s="22" t="n">
        <f aca="false">E5*H5</f>
        <v>12000</v>
      </c>
    </row>
    <row r="6" customFormat="false" ht="23.85" hidden="false" customHeight="false" outlineLevel="0" collapsed="false">
      <c r="A6" s="23" t="n">
        <v>2</v>
      </c>
      <c r="B6" s="24" t="s">
        <v>126</v>
      </c>
      <c r="C6" s="24" t="s">
        <v>127</v>
      </c>
      <c r="D6" s="24" t="s">
        <v>128</v>
      </c>
      <c r="E6" s="25" t="n">
        <v>8000</v>
      </c>
      <c r="F6" s="26" t="n">
        <v>1</v>
      </c>
      <c r="G6" s="27" t="n">
        <f aca="false">Summary!$B$9</f>
        <v>1</v>
      </c>
      <c r="H6" s="23" t="n">
        <f aca="false">F6*G6</f>
        <v>1</v>
      </c>
      <c r="I6" s="28" t="n">
        <f aca="false">E6*H6</f>
        <v>8000</v>
      </c>
    </row>
    <row r="7" customFormat="false" ht="23.85" hidden="false" customHeight="false" outlineLevel="0" collapsed="false">
      <c r="A7" s="17" t="n">
        <v>3</v>
      </c>
      <c r="B7" s="18" t="s">
        <v>129</v>
      </c>
      <c r="C7" s="18" t="s">
        <v>130</v>
      </c>
      <c r="D7" s="18" t="s">
        <v>131</v>
      </c>
      <c r="E7" s="19" t="n">
        <v>2000</v>
      </c>
      <c r="F7" s="20" t="n">
        <v>1</v>
      </c>
      <c r="G7" s="21" t="n">
        <f aca="false">Summary!$B$9</f>
        <v>1</v>
      </c>
      <c r="H7" s="17" t="n">
        <f aca="false">F7*G7</f>
        <v>1</v>
      </c>
      <c r="I7" s="22" t="n">
        <f aca="false">E7*H7</f>
        <v>2000</v>
      </c>
    </row>
    <row r="8" customFormat="false" ht="15" hidden="false" customHeight="false" outlineLevel="0" collapsed="false">
      <c r="A8" s="14"/>
      <c r="B8" s="14"/>
      <c r="C8" s="14"/>
      <c r="D8" s="29" t="s">
        <v>132</v>
      </c>
      <c r="E8" s="14"/>
      <c r="F8" s="14"/>
      <c r="G8" s="14"/>
      <c r="H8" s="14"/>
      <c r="I8" s="30" t="n">
        <f aca="false">SUMPRODUCT(E5:E7,F5:F7)</f>
        <v>22000</v>
      </c>
    </row>
    <row r="9" customFormat="false" ht="15" hidden="false" customHeight="false" outlineLevel="0" collapsed="false">
      <c r="A9" s="14"/>
      <c r="B9" s="14"/>
      <c r="C9" s="14"/>
      <c r="D9" s="29" t="s">
        <v>133</v>
      </c>
      <c r="E9" s="14"/>
      <c r="F9" s="14"/>
      <c r="G9" s="14"/>
      <c r="H9" s="14"/>
      <c r="I9" s="30" t="n">
        <f aca="false">SUM(I5:I7)</f>
        <v>22000</v>
      </c>
    </row>
    <row r="11" customFormat="false" ht="23.85" hidden="false" customHeight="false" outlineLevel="0" collapsed="false">
      <c r="A11" s="17" t="n">
        <v>1</v>
      </c>
      <c r="B11" s="18" t="s">
        <v>134</v>
      </c>
      <c r="C11" s="18" t="s">
        <v>135</v>
      </c>
      <c r="D11" s="18" t="s">
        <v>136</v>
      </c>
      <c r="E11" s="19" t="n">
        <v>45000</v>
      </c>
      <c r="F11" s="20" t="n">
        <v>1</v>
      </c>
      <c r="G11" s="21" t="n">
        <f aca="false">Summary!$B$10</f>
        <v>1</v>
      </c>
      <c r="H11" s="17" t="n">
        <f aca="false">F11*G11</f>
        <v>1</v>
      </c>
      <c r="I11" s="22" t="n">
        <f aca="false">E11*H11</f>
        <v>45000</v>
      </c>
    </row>
    <row r="12" customFormat="false" ht="15" hidden="false" customHeight="false" outlineLevel="0" collapsed="false">
      <c r="A12" s="14"/>
      <c r="B12" s="14"/>
      <c r="C12" s="14"/>
      <c r="D12" s="29" t="s">
        <v>137</v>
      </c>
      <c r="E12" s="14"/>
      <c r="F12" s="14"/>
      <c r="G12" s="14"/>
      <c r="H12" s="14"/>
      <c r="I12" s="30" t="n">
        <f aca="false">SUMPRODUCT(E11:E11,F11:F11)</f>
        <v>45000</v>
      </c>
    </row>
    <row r="13" customFormat="false" ht="15" hidden="false" customHeight="false" outlineLevel="0" collapsed="false">
      <c r="A13" s="14"/>
      <c r="B13" s="14"/>
      <c r="C13" s="14"/>
      <c r="D13" s="29" t="s">
        <v>138</v>
      </c>
      <c r="E13" s="14"/>
      <c r="F13" s="14"/>
      <c r="G13" s="14"/>
      <c r="H13" s="14"/>
      <c r="I13" s="30" t="n">
        <f aca="false">SUM(I11:I11)</f>
        <v>45000</v>
      </c>
    </row>
    <row r="15" customFormat="false" ht="27.75" hidden="false" customHeight="true" outlineLevel="0" collapsed="false">
      <c r="A15" s="16" t="s">
        <v>139</v>
      </c>
      <c r="B15" s="16"/>
      <c r="C15" s="16"/>
      <c r="D15" s="16"/>
      <c r="E15" s="16"/>
      <c r="F15" s="16"/>
      <c r="G15" s="16"/>
      <c r="H15" s="16"/>
      <c r="I15" s="16"/>
    </row>
  </sheetData>
  <mergeCells count="1"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2026-07-14T04:29:26Z</dcterms:created>
  <dc:creator>openpyxl</dc:creator>
  <dc:description/>
  <dc:language>en-US</dc:language>
  <cp:lastModifiedBy/>
  <dcterms:modified xsi:type="dcterms:W3CDTF">2026-07-14T04:29:26Z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